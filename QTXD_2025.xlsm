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ocuments\tga\"/>
    </mc:Choice>
  </mc:AlternateContent>
  <bookViews>
    <workbookView xWindow="0" yWindow="0" windowWidth="15810" windowHeight="10620" tabRatio="888" activeTab="7"/>
  </bookViews>
  <sheets>
    <sheet name="form" sheetId="1" r:id="rId1"/>
    <sheet name="PHIEU_XUAT" sheetId="14" r:id="rId2"/>
    <sheet name="title_for_userform" sheetId="8" r:id="rId3"/>
    <sheet name="data" sheetId="7" r:id="rId4"/>
    <sheet name="Dashboard" sheetId="11" r:id="rId5"/>
    <sheet name="BAO_CAO_NXT" sheetId="2" r:id="rId6"/>
    <sheet name="SO_CAI" sheetId="3" r:id="rId7"/>
    <sheet name="PT_TON_KHO" sheetId="4" r:id="rId8"/>
    <sheet name="NL" sheetId="5" r:id="rId9"/>
    <sheet name="DMN" sheetId="6" r:id="rId10"/>
    <sheet name="PHIEU_NHAP" sheetId="15" r:id="rId11"/>
  </sheets>
  <functionGroups builtInGroupCount="18"/>
  <definedNames>
    <definedName name="DT_NV_DX">#REF!</definedName>
    <definedName name="dvtt">data!$H$11:$H$21</definedName>
    <definedName name="KHO">SO_CAI!$B$10:$U$23</definedName>
    <definedName name="N_CONG">#REF!</definedName>
    <definedName name="N_CXD">#REF!</definedName>
    <definedName name="N_KHAC">#REF!</definedName>
    <definedName name="N_MUAPC">#REF!</definedName>
    <definedName name="N_QC">#REF!</definedName>
    <definedName name="N_TRONG_QT">#REF!</definedName>
    <definedName name="SO_CAI">SO_CAI!$B$10:$U$23</definedName>
    <definedName name="SO_CAI_12">SO_CAI!$B$10:$U$23</definedName>
    <definedName name="socai3">SO_CAI!$B$10:$U$23</definedName>
    <definedName name="TCK_CONG">#REF!</definedName>
    <definedName name="TCK_DT_NV_DX">#REF!</definedName>
    <definedName name="TCK_SSCD">#REF!</definedName>
    <definedName name="TDK_CONG">#REF!</definedName>
    <definedName name="TDK_DT_NV_DX">#REF!</definedName>
    <definedName name="TDK_SSCD">#REF!</definedName>
    <definedName name="ten_xd">#REF!</definedName>
    <definedName name="X_BQ">#REF!</definedName>
    <definedName name="X_CONG">#REF!</definedName>
    <definedName name="X_HAO_HUT">#REF!</definedName>
    <definedName name="X_KHAC">#REF!</definedName>
    <definedName name="X_NGOAIQC">#REF!</definedName>
    <definedName name="X_TON_THAT">#REF!</definedName>
    <definedName name="X_TRONG_QC">#REF!</definedName>
    <definedName name="X_TT_XEMAY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9" i="15" l="1"/>
  <c r="B13" i="15" a="1"/>
  <c r="E13" i="15" l="1"/>
  <c r="C13" i="15"/>
  <c r="D14" i="15"/>
  <c r="D13" i="15"/>
  <c r="H13" i="15"/>
  <c r="L13" i="15"/>
  <c r="E14" i="15"/>
  <c r="I14" i="15"/>
  <c r="I13" i="15"/>
  <c r="B14" i="15"/>
  <c r="F14" i="15"/>
  <c r="J14" i="15"/>
  <c r="B13" i="15"/>
  <c r="F13" i="15"/>
  <c r="J13" i="15"/>
  <c r="C14" i="15"/>
  <c r="G14" i="15"/>
  <c r="K14" i="15"/>
  <c r="G13" i="15"/>
  <c r="K13" i="15"/>
  <c r="H14" i="15"/>
  <c r="L14" i="15"/>
  <c r="U12" i="3"/>
  <c r="U13" i="3"/>
  <c r="U14" i="3"/>
  <c r="U15" i="3"/>
  <c r="U16" i="3"/>
  <c r="U17" i="3"/>
  <c r="U18" i="3"/>
  <c r="U19" i="3"/>
  <c r="U20" i="3"/>
  <c r="U21" i="3"/>
  <c r="U22" i="3"/>
  <c r="U23" i="3"/>
  <c r="U11" i="3"/>
  <c r="L17" i="15" l="1"/>
  <c r="J17" i="15"/>
  <c r="E4" i="7"/>
  <c r="E3" i="7"/>
  <c r="E2" i="7"/>
  <c r="Q20" i="1" l="1"/>
  <c r="P20" i="1"/>
  <c r="O20" i="1"/>
  <c r="N20" i="1"/>
  <c r="M20" i="1"/>
  <c r="L20" i="1"/>
</calcChain>
</file>

<file path=xl/comments1.xml><?xml version="1.0" encoding="utf-8"?>
<comments xmlns="http://schemas.openxmlformats.org/spreadsheetml/2006/main">
  <authors>
    <author>Admin</author>
  </authors>
  <commentList>
    <comment ref="K34" authorId="0" shapeId="0">
      <text>
        <r>
          <rPr>
            <sz val="9"/>
            <color indexed="81"/>
            <rFont val="Tahoma"/>
            <family val="2"/>
          </rPr>
          <t>Để cập nhật công thức, chọn vào vùng có công thức BS_SQL nhấn CTRL+SHIFT+A hoặc từ menu A-Tools.</t>
        </r>
      </text>
    </comment>
    <comment ref="B38" authorId="0" shapeId="0">
      <text>
        <r>
          <rPr>
            <sz val="9"/>
            <color indexed="81"/>
            <rFont val="Tahoma"/>
            <family val="2"/>
          </rPr>
          <t>Để cập nhật công thức, chọn vào vùng có công thức BS_SQL nhấn CTRL+SHIFT+A hoặc từ menu A-Tools.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B13" authorId="0" shapeId="0">
      <text>
        <r>
          <rPr>
            <sz val="9"/>
            <color indexed="81"/>
            <rFont val="Tahoma"/>
            <family val="2"/>
          </rPr>
          <t>Để cập nhật công thức, chọn vào vùng có công thức BS_SQL nhấn CTRL+SHIFT+A hoặc từ menu A-Tools.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Để cập nhật công thức, chọn vào vùng có công thức BS_SQL nhấn CTRL+SHIFT+A hoặc từ menu A-Tools.</t>
        </r>
      </text>
    </comment>
    <comment ref="P13" authorId="0" shapeId="0">
      <text>
        <r>
          <rPr>
            <sz val="9"/>
            <color indexed="81"/>
            <rFont val="Tahoma"/>
            <family val="2"/>
          </rPr>
          <t>Muốn hàm BS_SQL tự chạy khi thay đổi điều kiện thì chuỗi phải là công thức (=). Giới hạn số ký tự trong công thức &lt;=890 ký tự. _x000D_
Muốn giảm số ký tự trong chuỗi SQL thì tên bảng phải đặt Alias.</t>
        </r>
      </text>
    </comment>
    <comment ref="C15" authorId="0" shapeId="0">
      <text>
        <r>
          <rPr>
            <sz val="9"/>
            <color indexed="81"/>
            <rFont val="Tahoma"/>
            <family val="2"/>
          </rPr>
          <t>Để cập nhật công thức, chọn vào vùng có công thức BS_SQL nhấn CTRL+SHIFT+A hoặc từ menu A-Tools.</t>
        </r>
      </text>
    </comment>
  </commentList>
</comments>
</file>

<file path=xl/sharedStrings.xml><?xml version="1.0" encoding="utf-8"?>
<sst xmlns="http://schemas.openxmlformats.org/spreadsheetml/2006/main" count="676" uniqueCount="332">
  <si>
    <t>PHIẾU NHẬP XUẤT XĂNG DẦU</t>
  </si>
  <si>
    <t>Theo lệnh (KH) số:</t>
  </si>
  <si>
    <t>Người nhận hàng:</t>
  </si>
  <si>
    <t>Đơn vị giao hàng:</t>
  </si>
  <si>
    <t>Tính chất xuất:</t>
  </si>
  <si>
    <t>Đơn vị nhận hàng:</t>
  </si>
  <si>
    <t>Giấy giới thiệu và CMT:</t>
  </si>
  <si>
    <t>Số:</t>
  </si>
  <si>
    <t>Ngày:</t>
  </si>
  <si>
    <t>Số</t>
  </si>
  <si>
    <t>Giá trị đến ngày:</t>
  </si>
  <si>
    <t>Số xe:</t>
  </si>
  <si>
    <t>Tên xăng dầu</t>
  </si>
  <si>
    <t>TT</t>
  </si>
  <si>
    <t>Mã số</t>
  </si>
  <si>
    <t>Đơn giá</t>
  </si>
  <si>
    <t>Số lượng</t>
  </si>
  <si>
    <t>Thành tiền</t>
  </si>
  <si>
    <t>Sư Đoàn 371</t>
  </si>
  <si>
    <t>BÁO CÁO NHẬP - XUẤT - TỒN XĂNG DẦU MỠ</t>
  </si>
  <si>
    <t>Từ ngày 1/1/2024 đến ngày 31/12/2024</t>
  </si>
  <si>
    <t>Đơn vị</t>
  </si>
  <si>
    <t>Nhập xuất trong tháng (NXT)</t>
  </si>
  <si>
    <t>stt</t>
  </si>
  <si>
    <t>TÊN MÃ KÝ HIỆU 
XĂNG DẦU</t>
  </si>
  <si>
    <t>Tồn 01/01/2024</t>
  </si>
  <si>
    <t>NHẬP</t>
  </si>
  <si>
    <t>TỔNG 
CÓ</t>
  </si>
  <si>
    <t>XUẤT</t>
  </si>
  <si>
    <t>TỒN 31/12/2024</t>
  </si>
  <si>
    <t>DMMH.tt</t>
  </si>
  <si>
    <t>Thường
xuyên</t>
  </si>
  <si>
    <t>Dự trữ
SSCĐ</t>
  </si>
  <si>
    <t>Cộng</t>
  </si>
  <si>
    <t>Qua binh chủng</t>
  </si>
  <si>
    <t>Nhập
khác</t>
  </si>
  <si>
    <t>Cộng
nhập</t>
  </si>
  <si>
    <t>Hạn mức</t>
  </si>
  <si>
    <t>Khác</t>
  </si>
  <si>
    <t>Thường 
xuyên</t>
  </si>
  <si>
    <t>Hiện vật</t>
  </si>
  <si>
    <t>Phân cấp</t>
  </si>
  <si>
    <t>Tiêu thụ 
xe máy</t>
  </si>
  <si>
    <t>BQ, BD,
Sửa chữa</t>
  </si>
  <si>
    <t>Hạo
hụt</t>
  </si>
  <si>
    <t>Tổng cộng nhiên liệu</t>
  </si>
  <si>
    <t>Xăng dầu chính phẩm</t>
  </si>
  <si>
    <t>fasdf</t>
  </si>
  <si>
    <t>Nhiên liệu</t>
  </si>
  <si>
    <t>Ten_XD</t>
  </si>
  <si>
    <t>chung_loai</t>
  </si>
  <si>
    <t>tt</t>
  </si>
  <si>
    <t>dv</t>
  </si>
  <si>
    <t>e923</t>
  </si>
  <si>
    <t>E5</t>
  </si>
  <si>
    <t>xang o to</t>
  </si>
  <si>
    <t>e916</t>
  </si>
  <si>
    <t>e921</t>
  </si>
  <si>
    <t>e927</t>
  </si>
  <si>
    <t>Xăng A80</t>
  </si>
  <si>
    <t>d Nội Bài</t>
  </si>
  <si>
    <t>d Nà Sản</t>
  </si>
  <si>
    <t>Do 0.05 % S</t>
  </si>
  <si>
    <t>Diesel</t>
  </si>
  <si>
    <t>d Kiến An</t>
  </si>
  <si>
    <t>d Vinh</t>
  </si>
  <si>
    <t>f bộ</t>
  </si>
  <si>
    <t>Dầu TC-1</t>
  </si>
  <si>
    <t>Diễn giải</t>
  </si>
  <si>
    <t>Toàn đơn vị</t>
  </si>
  <si>
    <t>Trong đó</t>
  </si>
  <si>
    <t>d Nội bài</t>
  </si>
  <si>
    <t>Xăng E5 Ron 92</t>
  </si>
  <si>
    <t>Xăng 80 và TĐ</t>
  </si>
  <si>
    <t>DO 0,05%S</t>
  </si>
  <si>
    <t>Dầu JetA-1</t>
  </si>
  <si>
    <t>Dầu JetA-1K</t>
  </si>
  <si>
    <t>TC-1</t>
  </si>
  <si>
    <t>JetA-1K</t>
  </si>
  <si>
    <t>MILPCO1-SAE40</t>
  </si>
  <si>
    <t>MILPCO1-S-SAE40</t>
  </si>
  <si>
    <t>MT-16P</t>
  </si>
  <si>
    <t>CastrolCRB200W-50</t>
  </si>
  <si>
    <t>HelixHX-3</t>
  </si>
  <si>
    <t>Lukoi 15W-40</t>
  </si>
  <si>
    <t>Rimula R4X</t>
  </si>
  <si>
    <t>Niwanano ios32-HG32</t>
  </si>
  <si>
    <t>QUATVNM 20W50</t>
  </si>
  <si>
    <t>QUAT9000-0W20</t>
  </si>
  <si>
    <t>Galube90eps</t>
  </si>
  <si>
    <t>MILPC02-SAE90</t>
  </si>
  <si>
    <t>MILPC03-SAE90</t>
  </si>
  <si>
    <t>GearGL4 W90</t>
  </si>
  <si>
    <t>Morrisong 140ef90</t>
  </si>
  <si>
    <t>Phanh BCK</t>
  </si>
  <si>
    <t>MIL PC06</t>
  </si>
  <si>
    <t>Mỡ 1-13</t>
  </si>
  <si>
    <t>Mỡ SOLE ĐON</t>
  </si>
  <si>
    <t>Caxilium No2</t>
  </si>
  <si>
    <t>Mỡ Gzeose GL2</t>
  </si>
  <si>
    <t>Mỡ Gzeose GL3</t>
  </si>
  <si>
    <t>Opalgrease No3</t>
  </si>
  <si>
    <t>Xăng CN</t>
  </si>
  <si>
    <t>Dầu MC-8P</t>
  </si>
  <si>
    <t>Dầu MC-20</t>
  </si>
  <si>
    <t>Dầu B-3V</t>
  </si>
  <si>
    <t>Dầu IPM-10</t>
  </si>
  <si>
    <t>Hypôit (TC Gip)</t>
  </si>
  <si>
    <t>Dầu AMG-10</t>
  </si>
  <si>
    <t>Turbonicoil210A(IPM-10)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</si>
  <si>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</si>
  <si>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</si>
  <si>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</si>
  <si>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</si>
  <si>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</si>
  <si>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</si>
  <si>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</si>
  <si>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</si>
  <si>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</si>
  <si>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Mỡ 221</t>
  </si>
  <si>
    <t>Mỡ HK-50</t>
  </si>
  <si>
    <t>Mỡ số 9</t>
  </si>
  <si>
    <t>NHIÊN LIỆU</t>
  </si>
  <si>
    <t>MA_SO</t>
  </si>
  <si>
    <t>Loai_NL</t>
  </si>
  <si>
    <t>loai_DM</t>
  </si>
  <si>
    <t>DVT</t>
  </si>
  <si>
    <t>TT_UU_TIEN</t>
  </si>
  <si>
    <t>X0000010101001</t>
  </si>
  <si>
    <t>Xăng ô tô</t>
  </si>
  <si>
    <r>
      <t>Lít 15</t>
    </r>
    <r>
      <rPr>
        <sz val="12"/>
        <color theme="1"/>
        <rFont val="Times New Roman"/>
        <family val="1"/>
      </rPr>
      <t>º</t>
    </r>
    <r>
      <rPr>
        <sz val="12"/>
        <color theme="1"/>
        <rFont val="Times New Roman"/>
        <family val="2"/>
      </rPr>
      <t>C</t>
    </r>
  </si>
  <si>
    <t>X0000010101002</t>
  </si>
  <si>
    <t>X0000010101003</t>
  </si>
  <si>
    <t>Diezel</t>
  </si>
  <si>
    <t>X0000010101004</t>
  </si>
  <si>
    <t>Dầu bay</t>
  </si>
  <si>
    <t>X0000010101005</t>
  </si>
  <si>
    <t>kg</t>
  </si>
  <si>
    <t>X0000010101006</t>
  </si>
  <si>
    <t>X0000010101007</t>
  </si>
  <si>
    <t>Dầu hạ cấp</t>
  </si>
  <si>
    <t>X0000010101008</t>
  </si>
  <si>
    <t>DẦU MỠ NHỜN</t>
  </si>
  <si>
    <t>Loai_DM</t>
  </si>
  <si>
    <t>Chung_loai</t>
  </si>
  <si>
    <t>X0000010101009</t>
  </si>
  <si>
    <t>DMN mặt đất</t>
  </si>
  <si>
    <t>Dầu đ.cơ ô tô</t>
  </si>
  <si>
    <t>dầu</t>
  </si>
  <si>
    <t>Dầu động cơ</t>
  </si>
  <si>
    <t>X0000010101010</t>
  </si>
  <si>
    <t>X0000010101011</t>
  </si>
  <si>
    <t>X0000010101012</t>
  </si>
  <si>
    <t>X0000010101013</t>
  </si>
  <si>
    <t>X0000010101014</t>
  </si>
  <si>
    <t>X0000010101015</t>
  </si>
  <si>
    <t>X0000010101016</t>
  </si>
  <si>
    <t>X0000010101017</t>
  </si>
  <si>
    <t>X0000010101018</t>
  </si>
  <si>
    <t>X0000010101019</t>
  </si>
  <si>
    <t>Dầu truyền động</t>
  </si>
  <si>
    <t>X0000010101020</t>
  </si>
  <si>
    <t>X0000010101021</t>
  </si>
  <si>
    <t>X0000010101022</t>
  </si>
  <si>
    <t>X0000010101023</t>
  </si>
  <si>
    <t>Dầu công nghiệp</t>
  </si>
  <si>
    <t>X0000010101024</t>
  </si>
  <si>
    <t>Dầu khác</t>
  </si>
  <si>
    <t>Dầu phanh</t>
  </si>
  <si>
    <t>X0000010101025</t>
  </si>
  <si>
    <t>X0000010101026</t>
  </si>
  <si>
    <t>Mỡ giảm ma sát</t>
  </si>
  <si>
    <t>mỡ</t>
  </si>
  <si>
    <t>Mỡ ma sát</t>
  </si>
  <si>
    <t>X0000010101027</t>
  </si>
  <si>
    <t>X0000010101028</t>
  </si>
  <si>
    <t>X0000010101029</t>
  </si>
  <si>
    <t>X0000010101030</t>
  </si>
  <si>
    <t>X0000010101031</t>
  </si>
  <si>
    <t>X0000010101032</t>
  </si>
  <si>
    <t>DMN Hàng không</t>
  </si>
  <si>
    <t>Dung môi</t>
  </si>
  <si>
    <t>X0000010101033</t>
  </si>
  <si>
    <t>Dầu đ.cơ</t>
  </si>
  <si>
    <t>X0000010101034</t>
  </si>
  <si>
    <t>X0000010101035</t>
  </si>
  <si>
    <t>X0000010101036</t>
  </si>
  <si>
    <t>X0000010101037</t>
  </si>
  <si>
    <t>X0000010101038</t>
  </si>
  <si>
    <t>Dầu thủy lực</t>
  </si>
  <si>
    <t>X0000010101039</t>
  </si>
  <si>
    <t>X0000010101040</t>
  </si>
  <si>
    <t>X0000010101041</t>
  </si>
  <si>
    <t>X0000010101042</t>
  </si>
  <si>
    <t>X0000010101043</t>
  </si>
  <si>
    <t>X0000010101044</t>
  </si>
  <si>
    <t>X0000010101045</t>
  </si>
  <si>
    <t>X0000010101046</t>
  </si>
  <si>
    <t>X0000010101047</t>
  </si>
  <si>
    <t>X0000010101048</t>
  </si>
  <si>
    <t>Mỡ nhờn</t>
  </si>
  <si>
    <t>X0000010101049</t>
  </si>
  <si>
    <t>X0000010101050</t>
  </si>
  <si>
    <t>X0000010101051</t>
  </si>
  <si>
    <t>ID</t>
  </si>
  <si>
    <t xml:space="preserve">Fuel Name </t>
  </si>
  <si>
    <t>Quatity</t>
  </si>
  <si>
    <t>price</t>
  </si>
  <si>
    <t>total</t>
  </si>
  <si>
    <t>Price</t>
  </si>
  <si>
    <t>n</t>
  </si>
  <si>
    <t>x</t>
  </si>
  <si>
    <t>CXD</t>
  </si>
  <si>
    <t>Mua PC</t>
  </si>
  <si>
    <t>loai nhap</t>
  </si>
  <si>
    <t>Kho cục XD</t>
  </si>
  <si>
    <t>Kho 190</t>
  </si>
  <si>
    <t>Kho661</t>
  </si>
  <si>
    <t>Kho 671</t>
  </si>
  <si>
    <t>Nhập QC</t>
  </si>
  <si>
    <t>Kho K14 Cấp</t>
  </si>
  <si>
    <t>Đơn vị khác</t>
  </si>
  <si>
    <t>Sư đoàn 370</t>
  </si>
  <si>
    <t>Sư đoàn 372</t>
  </si>
  <si>
    <t>Trường SQKQ</t>
  </si>
  <si>
    <t>Bộ tham mưu</t>
  </si>
  <si>
    <t>Lữ đoàn 918</t>
  </si>
  <si>
    <t>Công ty XDQĐ</t>
  </si>
  <si>
    <t>Cty XDPVOil HP</t>
  </si>
  <si>
    <t>Cty XD Minh Đức</t>
  </si>
  <si>
    <t>CTXD Lưu Nga</t>
  </si>
  <si>
    <t>Mua công tác lẻ</t>
  </si>
  <si>
    <t>Nhập khác</t>
  </si>
  <si>
    <t>Hạch toán(NM)</t>
  </si>
  <si>
    <t>QPQT-22</t>
  </si>
  <si>
    <t>Nhà máy A32</t>
  </si>
  <si>
    <t>Nhà máy A42</t>
  </si>
  <si>
    <t>Viettel S125VT</t>
  </si>
  <si>
    <t>Đổi hàng DT</t>
  </si>
  <si>
    <t>Nhập hạ cấp</t>
  </si>
  <si>
    <t>Kho K99</t>
  </si>
  <si>
    <t>Kho K14 cấp</t>
  </si>
  <si>
    <t>FNhapLieu</t>
  </si>
  <si>
    <t>UserForm_Name</t>
  </si>
  <si>
    <t>FNhapLieu_create</t>
  </si>
  <si>
    <t>form_caption</t>
  </si>
  <si>
    <t>Nhập Xăng Dầu</t>
  </si>
  <si>
    <t>F001</t>
  </si>
  <si>
    <t>F002</t>
  </si>
  <si>
    <t>F003</t>
  </si>
  <si>
    <t>22/10/2022</t>
  </si>
  <si>
    <t>23/10/2022</t>
  </si>
  <si>
    <t>24/10/2022</t>
  </si>
  <si>
    <t>25/10/2022</t>
  </si>
  <si>
    <t>27/10/2022</t>
  </si>
  <si>
    <t>28/10/2022</t>
  </si>
  <si>
    <t>15/11/2022</t>
  </si>
  <si>
    <t>15/11/2023</t>
  </si>
  <si>
    <t>15/11/2024</t>
  </si>
  <si>
    <t>15/11/2025</t>
  </si>
  <si>
    <t>15/11/2026</t>
  </si>
  <si>
    <t>15/11/2027</t>
  </si>
  <si>
    <t>305-hc</t>
  </si>
  <si>
    <t>Nhập hạn mức xăng dầu</t>
  </si>
  <si>
    <t>đc Giang</t>
  </si>
  <si>
    <t>QA 31 33</t>
  </si>
  <si>
    <t>QA 31 34</t>
  </si>
  <si>
    <t>QA 31 35</t>
  </si>
  <si>
    <t>QA 31 36</t>
  </si>
  <si>
    <t>QA 31 37</t>
  </si>
  <si>
    <t>QA 31 38</t>
  </si>
  <si>
    <t>QA 31 39</t>
  </si>
  <si>
    <t>QA 31 40</t>
  </si>
  <si>
    <t>QA 31 41</t>
  </si>
  <si>
    <t>QA 31 42</t>
  </si>
  <si>
    <t>QA 31 43</t>
  </si>
  <si>
    <t>QA 31 44</t>
  </si>
  <si>
    <t>QA 31 45</t>
  </si>
  <si>
    <t>ngay</t>
  </si>
  <si>
    <t>ma_xd</t>
  </si>
  <si>
    <t>dvi</t>
  </si>
  <si>
    <t>loai_phieu</t>
  </si>
  <si>
    <t>so</t>
  </si>
  <si>
    <t>nhiem_vu</t>
  </si>
  <si>
    <t>theo_lenh_so</t>
  </si>
  <si>
    <t>nguoi_nhan_hang</t>
  </si>
  <si>
    <t>so_xe</t>
  </si>
  <si>
    <t>chat_luong</t>
  </si>
  <si>
    <t>phai_xuat</t>
  </si>
  <si>
    <t>nhiet_do_tt</t>
  </si>
  <si>
    <t>ti_trong</t>
  </si>
  <si>
    <t>he_so_vcf</t>
  </si>
  <si>
    <t>thuc_xuat</t>
  </si>
  <si>
    <t>don_gia</t>
  </si>
  <si>
    <t>PHIẾU NHẬP XĂNG DẦU</t>
  </si>
  <si>
    <t>Số 1-03/XD-14</t>
  </si>
  <si>
    <t xml:space="preserve">Số </t>
  </si>
  <si>
    <t xml:space="preserve">Ngày </t>
  </si>
  <si>
    <t>Đ.vị vận chuyển:</t>
  </si>
  <si>
    <t>D.tích K.định:</t>
  </si>
  <si>
    <t>đ/c Giang</t>
  </si>
  <si>
    <t>D.tích nhận hàng:</t>
  </si>
  <si>
    <t>Số lượng bao bì:</t>
  </si>
  <si>
    <t>Chất lượng</t>
  </si>
  <si>
    <r>
      <t>Phải xuất
(Lít t</t>
    </r>
    <r>
      <rPr>
        <vertAlign val="superscript"/>
        <sz val="11"/>
        <color theme="1"/>
        <rFont val="Times New Roman"/>
        <family val="1"/>
      </rPr>
      <t>o</t>
    </r>
    <r>
      <rPr>
        <sz val="11"/>
        <color theme="1"/>
        <rFont val="Times New Roman"/>
        <family val="1"/>
      </rPr>
      <t>TT, Kg)</t>
    </r>
  </si>
  <si>
    <t>Nhiệt độ thực tế</t>
  </si>
  <si>
    <r>
      <t>Tỷ trọng
15</t>
    </r>
    <r>
      <rPr>
        <vertAlign val="superscript"/>
        <sz val="11"/>
        <color theme="1"/>
        <rFont val="Times New Roman"/>
        <family val="1"/>
      </rPr>
      <t>o</t>
    </r>
    <r>
      <rPr>
        <sz val="11"/>
        <color theme="1"/>
        <rFont val="Times New Roman"/>
        <family val="1"/>
      </rPr>
      <t>C</t>
    </r>
  </si>
  <si>
    <t>Hệ số
VCF</t>
  </si>
  <si>
    <r>
      <t>Thực xuất
(Lít 15</t>
    </r>
    <r>
      <rPr>
        <vertAlign val="superscript"/>
        <sz val="11"/>
        <color theme="1"/>
        <rFont val="Times New Roman"/>
        <family val="1"/>
      </rPr>
      <t>o</t>
    </r>
    <r>
      <rPr>
        <sz val="11"/>
        <color theme="1"/>
        <rFont val="Times New Roman"/>
        <family val="1"/>
      </rPr>
      <t>C, Kg)</t>
    </r>
  </si>
  <si>
    <t xml:space="preserve">     Tổng cộng:</t>
  </si>
  <si>
    <t>Khoản,     số lượng:</t>
  </si>
  <si>
    <t>lít, Kg.</t>
  </si>
  <si>
    <t xml:space="preserve">     Thành tiền:</t>
  </si>
  <si>
    <t xml:space="preserve">     Ghi chú:</t>
  </si>
  <si>
    <t xml:space="preserve">      NGƯỜI NHẬN</t>
  </si>
  <si>
    <t>NGƯỜI GIAO</t>
  </si>
  <si>
    <t>TÀI CHÍNH</t>
  </si>
  <si>
    <t>NGƯỜI VIẾT PHIẾU</t>
  </si>
  <si>
    <t xml:space="preserve">CHỦ NHIỆM </t>
  </si>
  <si>
    <t>Phạm Bằng Giang</t>
  </si>
  <si>
    <t>Nguyễn Thị Thủy</t>
  </si>
  <si>
    <t>1//CN Bùi Quang Tài</t>
  </si>
  <si>
    <t>3// Vương Khắc Ninh</t>
  </si>
  <si>
    <t>SƯ ĐOÀN 371</t>
  </si>
  <si>
    <t>F371</t>
  </si>
  <si>
    <t xml:space="preserve"> Kho xăng dầu - Kho Y</t>
  </si>
  <si>
    <t xml:space="preserve">Tính chất nhập:  </t>
  </si>
  <si>
    <t xml:space="preserve">Đơn vị giao hàng:     </t>
  </si>
  <si>
    <t>22/12/2023</t>
  </si>
  <si>
    <t>thanh_tien</t>
  </si>
  <si>
    <t>SELECT RECNO() AS STT, socai3.ma_xd, socai3.Ten_XD, socai3.chat_luong,
  socai3.phai_xuat, socai3.nhiet_do_tt, socai3.ti_trong, socai3.he_so_vcf,
  socai3.thuc_xuat, socai3.don_gia, socai3.thanh_tien
FROM socai3
WHERE socai3.so = 'RANGE(H4)'</t>
  </si>
  <si>
    <t>insert into loaixd values(34, 'Dầu MC-20','Dầu MC-20','DMN-HK-DDC','08/28/2024','ACTIVE');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</si>
</sst>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9">
    <font>
      <sz val="12"/>
      <color theme="1"/>
      <name val="Times New Roman"/>
      <family val="2"/>
    </font>
    <font>
      <sz val="12"/>
      <color theme="1"/>
      <name val="Times New Roman"/>
      <family val="2"/>
    </font>
    <font>
      <b/>
      <sz val="12"/>
      <color theme="0"/>
      <name val="Times New Roman"/>
      <family val="2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me"/>
    </font>
    <font>
      <b/>
      <sz val="11"/>
      <color theme="1"/>
      <name val="Calibri"/>
      <family val="2"/>
      <scheme val="minor"/>
    </font>
    <font>
      <sz val="12"/>
      <color rgb="FF000000"/>
      <name val="Times New Roman"/>
      <family val="1"/>
    </font>
    <font>
      <b/>
      <sz val="13"/>
      <color theme="1"/>
      <name val="Times New Roman"/>
      <family val="1"/>
    </font>
    <font>
      <b/>
      <sz val="20"/>
      <color theme="1"/>
      <name val="Times New Roman"/>
      <family val="1"/>
    </font>
    <font>
      <sz val="13"/>
      <color theme="1"/>
      <name val="Times New Roman"/>
      <family val="2"/>
    </font>
    <font>
      <sz val="13"/>
      <color theme="1"/>
      <name val="Times New Roman"/>
      <family val="1"/>
    </font>
    <font>
      <sz val="11"/>
      <color theme="1"/>
      <name val="Times New Roman"/>
      <family val="2"/>
    </font>
    <font>
      <vertAlign val="superscript"/>
      <sz val="11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0"/>
      <name val="Times New Roman"/>
      <family val="1"/>
    </font>
    <font>
      <b/>
      <sz val="13"/>
      <color theme="1"/>
      <name val="Times New Roman"/>
      <family val="2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 tint="-0.49998474074526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theme="4" tint="0.3999755851924192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99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Border="1"/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3" fillId="3" borderId="0" xfId="0" applyFont="1" applyFill="1" applyBorder="1" applyAlignment="1"/>
    <xf numFmtId="0" fontId="3" fillId="3" borderId="7" xfId="0" applyFont="1" applyFill="1" applyBorder="1" applyAlignment="1">
      <alignment horizontal="center"/>
    </xf>
    <xf numFmtId="0" fontId="0" fillId="3" borderId="0" xfId="0" applyFill="1" applyBorder="1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0" fillId="3" borderId="1" xfId="0" applyFill="1" applyBorder="1"/>
    <xf numFmtId="0" fontId="0" fillId="0" borderId="4" xfId="0" applyBorder="1" applyAlignment="1">
      <alignment horizontal="center"/>
    </xf>
    <xf numFmtId="0" fontId="0" fillId="0" borderId="4" xfId="0" applyBorder="1" applyAlignment="1"/>
    <xf numFmtId="0" fontId="0" fillId="0" borderId="1" xfId="0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1" xfId="0" applyNumberFormat="1" applyBorder="1"/>
    <xf numFmtId="3" fontId="0" fillId="0" borderId="0" xfId="0" applyNumberFormat="1"/>
    <xf numFmtId="0" fontId="3" fillId="0" borderId="1" xfId="0" applyFont="1" applyBorder="1" applyAlignment="1">
      <alignment horizontal="center" vertical="center"/>
    </xf>
    <xf numFmtId="49" fontId="1" fillId="0" borderId="1" xfId="0" applyNumberFormat="1" applyFont="1" applyBorder="1"/>
    <xf numFmtId="49" fontId="1" fillId="4" borderId="1" xfId="0" applyNumberFormat="1" applyFont="1" applyFill="1" applyBorder="1"/>
    <xf numFmtId="49" fontId="4" fillId="0" borderId="1" xfId="0" applyNumberFormat="1" applyFont="1" applyBorder="1"/>
    <xf numFmtId="49" fontId="4" fillId="4" borderId="1" xfId="0" applyNumberFormat="1" applyFont="1" applyFill="1" applyBorder="1"/>
    <xf numFmtId="49" fontId="1" fillId="0" borderId="1" xfId="0" quotePrefix="1" applyNumberFormat="1" applyFont="1" applyBorder="1"/>
    <xf numFmtId="49" fontId="4" fillId="4" borderId="10" xfId="0" applyNumberFormat="1" applyFont="1" applyFill="1" applyBorder="1"/>
    <xf numFmtId="49" fontId="4" fillId="4" borderId="5" xfId="0" applyNumberFormat="1" applyFont="1" applyFill="1" applyBorder="1"/>
    <xf numFmtId="0" fontId="2" fillId="5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1" fillId="0" borderId="1" xfId="0" quotePrefix="1" applyFont="1" applyBorder="1" applyAlignment="1">
      <alignment horizontal="center"/>
    </xf>
    <xf numFmtId="0" fontId="1" fillId="0" borderId="3" xfId="0" quotePrefix="1" applyFont="1" applyBorder="1"/>
    <xf numFmtId="0" fontId="1" fillId="0" borderId="1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3" fontId="1" fillId="0" borderId="1" xfId="0" applyNumberFormat="1" applyFont="1" applyBorder="1" applyAlignment="1">
      <alignment horizontal="center"/>
    </xf>
    <xf numFmtId="0" fontId="1" fillId="4" borderId="1" xfId="0" quotePrefix="1" applyFont="1" applyFill="1" applyBorder="1" applyAlignment="1">
      <alignment horizontal="center"/>
    </xf>
    <xf numFmtId="0" fontId="1" fillId="4" borderId="3" xfId="0" quotePrefix="1" applyFont="1" applyFill="1" applyBorder="1"/>
    <xf numFmtId="49" fontId="1" fillId="4" borderId="2" xfId="0" applyNumberFormat="1" applyFont="1" applyFill="1" applyBorder="1" applyAlignment="1">
      <alignment horizontal="center"/>
    </xf>
    <xf numFmtId="3" fontId="1" fillId="4" borderId="1" xfId="0" applyNumberFormat="1" applyFont="1" applyFill="1" applyBorder="1" applyAlignment="1">
      <alignment horizontal="center"/>
    </xf>
    <xf numFmtId="0" fontId="1" fillId="0" borderId="3" xfId="0" quotePrefix="1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49" fontId="4" fillId="0" borderId="2" xfId="0" applyNumberFormat="1" applyFont="1" applyBorder="1" applyAlignment="1">
      <alignment horizontal="center"/>
    </xf>
    <xf numFmtId="3" fontId="4" fillId="0" borderId="1" xfId="0" applyNumberFormat="1" applyFont="1" applyBorder="1" applyAlignment="1">
      <alignment horizontal="center"/>
    </xf>
    <xf numFmtId="49" fontId="1" fillId="4" borderId="2" xfId="0" applyNumberFormat="1" applyFont="1" applyFill="1" applyBorder="1"/>
    <xf numFmtId="49" fontId="1" fillId="0" borderId="2" xfId="0" applyNumberFormat="1" applyFont="1" applyBorder="1"/>
    <xf numFmtId="49" fontId="4" fillId="4" borderId="1" xfId="0" applyNumberFormat="1" applyFont="1" applyFill="1" applyBorder="1" applyAlignment="1">
      <alignment horizontal="center"/>
    </xf>
    <xf numFmtId="49" fontId="4" fillId="4" borderId="2" xfId="0" applyNumberFormat="1" applyFont="1" applyFill="1" applyBorder="1" applyAlignment="1">
      <alignment horizontal="center"/>
    </xf>
    <xf numFmtId="49" fontId="4" fillId="4" borderId="2" xfId="0" applyNumberFormat="1" applyFont="1" applyFill="1" applyBorder="1"/>
    <xf numFmtId="49" fontId="4" fillId="4" borderId="11" xfId="0" applyNumberFormat="1" applyFont="1" applyFill="1" applyBorder="1" applyAlignment="1">
      <alignment horizontal="center"/>
    </xf>
    <xf numFmtId="49" fontId="4" fillId="0" borderId="11" xfId="0" applyNumberFormat="1" applyFont="1" applyBorder="1" applyAlignment="1">
      <alignment horizontal="center"/>
    </xf>
    <xf numFmtId="49" fontId="4" fillId="0" borderId="2" xfId="0" applyNumberFormat="1" applyFont="1" applyBorder="1"/>
    <xf numFmtId="49" fontId="4" fillId="4" borderId="11" xfId="0" applyNumberFormat="1" applyFont="1" applyFill="1" applyBorder="1"/>
    <xf numFmtId="49" fontId="4" fillId="0" borderId="1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0" fillId="0" borderId="0" xfId="0" applyBorder="1" applyAlignment="1">
      <alignment horizontal="left"/>
    </xf>
    <xf numFmtId="3" fontId="0" fillId="0" borderId="2" xfId="0" applyNumberFormat="1" applyBorder="1"/>
    <xf numFmtId="0" fontId="0" fillId="6" borderId="0" xfId="0" applyFill="1"/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0" fillId="0" borderId="5" xfId="0" applyBorder="1"/>
    <xf numFmtId="3" fontId="0" fillId="0" borderId="5" xfId="0" applyNumberFormat="1" applyBorder="1"/>
    <xf numFmtId="3" fontId="0" fillId="0" borderId="0" xfId="0" applyNumberFormat="1" applyBorder="1"/>
    <xf numFmtId="0" fontId="1" fillId="3" borderId="0" xfId="0" applyFont="1" applyFill="1" applyBorder="1" applyProtection="1">
      <protection locked="0"/>
    </xf>
    <xf numFmtId="0" fontId="1" fillId="3" borderId="7" xfId="0" applyFont="1" applyFill="1" applyBorder="1" applyProtection="1">
      <protection locked="0"/>
    </xf>
    <xf numFmtId="0" fontId="11" fillId="3" borderId="22" xfId="0" quotePrefix="1" applyFont="1" applyFill="1" applyBorder="1" applyAlignment="1" applyProtection="1">
      <alignment horizontal="left"/>
      <protection locked="0"/>
    </xf>
    <xf numFmtId="0" fontId="1" fillId="3" borderId="0" xfId="0" applyFont="1" applyFill="1" applyBorder="1" applyAlignment="1" applyProtection="1">
      <protection locked="0"/>
    </xf>
    <xf numFmtId="0" fontId="1" fillId="3" borderId="0" xfId="0" applyFont="1" applyFill="1" applyBorder="1" applyAlignment="1" applyProtection="1">
      <alignment horizontal="right"/>
      <protection locked="0"/>
    </xf>
    <xf numFmtId="0" fontId="1" fillId="3" borderId="5" xfId="0" applyNumberFormat="1" applyFont="1" applyFill="1" applyBorder="1" applyAlignment="1" applyProtection="1">
      <alignment horizontal="center" vertical="center"/>
      <protection locked="0"/>
    </xf>
    <xf numFmtId="0" fontId="12" fillId="3" borderId="22" xfId="0" applyFont="1" applyFill="1" applyBorder="1" applyProtection="1">
      <protection locked="0"/>
    </xf>
    <xf numFmtId="0" fontId="1" fillId="3" borderId="12" xfId="0" applyFont="1" applyFill="1" applyBorder="1" applyProtection="1">
      <protection locked="0"/>
    </xf>
    <xf numFmtId="0" fontId="13" fillId="3" borderId="13" xfId="0" applyFont="1" applyFill="1" applyBorder="1" applyAlignment="1" applyProtection="1">
      <alignment horizontal="right"/>
      <protection locked="0"/>
    </xf>
    <xf numFmtId="0" fontId="13" fillId="3" borderId="24" xfId="0" applyFont="1" applyFill="1" applyBorder="1" applyAlignment="1" applyProtection="1">
      <protection locked="0"/>
    </xf>
    <xf numFmtId="0" fontId="11" fillId="3" borderId="22" xfId="0" applyFont="1" applyFill="1" applyBorder="1" applyProtection="1">
      <protection locked="0"/>
    </xf>
    <xf numFmtId="14" fontId="1" fillId="3" borderId="12" xfId="0" applyNumberFormat="1" applyFont="1" applyFill="1" applyBorder="1" applyProtection="1">
      <protection locked="0"/>
    </xf>
    <xf numFmtId="0" fontId="1" fillId="3" borderId="13" xfId="0" applyFont="1" applyFill="1" applyBorder="1" applyProtection="1">
      <protection locked="0"/>
    </xf>
    <xf numFmtId="14" fontId="1" fillId="3" borderId="13" xfId="0" applyNumberFormat="1" applyFont="1" applyFill="1" applyBorder="1" applyProtection="1">
      <protection locked="0"/>
    </xf>
    <xf numFmtId="0" fontId="1" fillId="3" borderId="22" xfId="0" applyFont="1" applyFill="1" applyBorder="1" applyProtection="1">
      <protection locked="0"/>
    </xf>
    <xf numFmtId="0" fontId="13" fillId="3" borderId="5" xfId="0" applyFont="1" applyFill="1" applyBorder="1" applyAlignment="1" applyProtection="1">
      <alignment horizontal="center" vertical="center" wrapText="1"/>
      <protection locked="0"/>
    </xf>
    <xf numFmtId="0" fontId="4" fillId="3" borderId="15" xfId="0" applyFont="1" applyFill="1" applyBorder="1" applyAlignment="1" applyProtection="1">
      <alignment horizontal="center" vertical="center"/>
      <protection locked="0"/>
    </xf>
    <xf numFmtId="0" fontId="15" fillId="3" borderId="15" xfId="0" applyFont="1" applyFill="1" applyBorder="1" applyAlignment="1" applyProtection="1">
      <alignment horizontal="left" vertical="center"/>
      <protection locked="0"/>
    </xf>
    <xf numFmtId="0" fontId="4" fillId="3" borderId="15" xfId="0" applyFont="1" applyFill="1" applyBorder="1" applyAlignment="1" applyProtection="1">
      <alignment horizontal="left" vertical="center" shrinkToFit="1"/>
      <protection locked="0"/>
    </xf>
    <xf numFmtId="3" fontId="16" fillId="3" borderId="15" xfId="0" applyNumberFormat="1" applyFont="1" applyFill="1" applyBorder="1" applyAlignment="1" applyProtection="1">
      <alignment horizontal="right" vertical="center"/>
      <protection locked="0"/>
    </xf>
    <xf numFmtId="3" fontId="15" fillId="3" borderId="15" xfId="0" applyNumberFormat="1" applyFont="1" applyFill="1" applyBorder="1" applyAlignment="1" applyProtection="1">
      <alignment horizontal="right" vertical="center"/>
      <protection locked="0"/>
    </xf>
    <xf numFmtId="3" fontId="15" fillId="3" borderId="15" xfId="0" applyNumberFormat="1" applyFont="1" applyFill="1" applyBorder="1" applyAlignment="1" applyProtection="1">
      <alignment horizontal="center" vertical="center"/>
      <protection locked="0"/>
    </xf>
    <xf numFmtId="3" fontId="4" fillId="3" borderId="15" xfId="1" applyNumberFormat="1" applyFont="1" applyFill="1" applyBorder="1" applyAlignment="1" applyProtection="1">
      <alignment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3" fontId="16" fillId="3" borderId="8" xfId="0" applyNumberFormat="1" applyFont="1" applyFill="1" applyBorder="1" applyAlignment="1" applyProtection="1">
      <alignment horizontal="right" vertical="center"/>
      <protection locked="0"/>
    </xf>
    <xf numFmtId="0" fontId="4" fillId="3" borderId="16" xfId="0" applyFont="1" applyFill="1" applyBorder="1" applyAlignment="1" applyProtection="1">
      <alignment horizontal="center"/>
      <protection locked="0"/>
    </xf>
    <xf numFmtId="0" fontId="15" fillId="3" borderId="16" xfId="0" applyFont="1" applyFill="1" applyBorder="1" applyAlignment="1" applyProtection="1">
      <alignment horizontal="left"/>
      <protection locked="0"/>
    </xf>
    <xf numFmtId="0" fontId="4" fillId="3" borderId="16" xfId="0" applyFont="1" applyFill="1" applyBorder="1" applyAlignment="1" applyProtection="1">
      <alignment horizontal="left"/>
      <protection locked="0"/>
    </xf>
    <xf numFmtId="3" fontId="16" fillId="3" borderId="16" xfId="0" applyNumberFormat="1" applyFont="1" applyFill="1" applyBorder="1" applyAlignment="1" applyProtection="1">
      <alignment horizontal="right" vertical="center"/>
      <protection locked="0"/>
    </xf>
    <xf numFmtId="3" fontId="4" fillId="3" borderId="16" xfId="0" applyNumberFormat="1" applyFont="1" applyFill="1" applyBorder="1" applyAlignment="1" applyProtection="1">
      <protection locked="0"/>
    </xf>
    <xf numFmtId="3" fontId="4" fillId="3" borderId="16" xfId="1" applyNumberFormat="1" applyFont="1" applyFill="1" applyBorder="1" applyAlignment="1" applyProtection="1">
      <protection locked="0"/>
    </xf>
    <xf numFmtId="0" fontId="3" fillId="3" borderId="17" xfId="0" applyFont="1" applyFill="1" applyBorder="1" applyAlignment="1" applyProtection="1">
      <protection locked="0"/>
    </xf>
    <xf numFmtId="0" fontId="3" fillId="3" borderId="17" xfId="0" applyFont="1" applyFill="1" applyBorder="1" applyAlignment="1" applyProtection="1">
      <alignment horizontal="center"/>
      <protection locked="0"/>
    </xf>
    <xf numFmtId="3" fontId="3" fillId="3" borderId="17" xfId="0" applyNumberFormat="1" applyFont="1" applyFill="1" applyBorder="1" applyAlignment="1" applyProtection="1">
      <protection locked="0"/>
    </xf>
    <xf numFmtId="3" fontId="3" fillId="3" borderId="17" xfId="1" applyNumberFormat="1" applyFont="1" applyFill="1" applyBorder="1" applyAlignment="1" applyProtection="1">
      <protection locked="0"/>
    </xf>
    <xf numFmtId="0" fontId="11" fillId="3" borderId="0" xfId="0" applyFont="1" applyFill="1" applyBorder="1" applyAlignment="1" applyProtection="1">
      <alignment wrapText="1"/>
      <protection locked="0"/>
    </xf>
    <xf numFmtId="0" fontId="9" fillId="3" borderId="12" xfId="0" applyFont="1" applyFill="1" applyBorder="1" applyAlignment="1" applyProtection="1">
      <alignment horizontal="center" wrapText="1"/>
      <protection locked="0"/>
    </xf>
    <xf numFmtId="0" fontId="11" fillId="3" borderId="0" xfId="0" applyFont="1" applyFill="1" applyBorder="1" applyAlignment="1" applyProtection="1">
      <protection locked="0"/>
    </xf>
    <xf numFmtId="0" fontId="11" fillId="3" borderId="0" xfId="0" applyFont="1" applyFill="1" applyBorder="1" applyProtection="1">
      <protection locked="0"/>
    </xf>
    <xf numFmtId="0" fontId="11" fillId="3" borderId="7" xfId="0" applyFont="1" applyFill="1" applyBorder="1" applyProtection="1">
      <protection locked="0"/>
    </xf>
    <xf numFmtId="0" fontId="9" fillId="3" borderId="12" xfId="0" applyFont="1" applyFill="1" applyBorder="1" applyProtection="1">
      <protection locked="0"/>
    </xf>
    <xf numFmtId="0" fontId="11" fillId="3" borderId="12" xfId="0" applyFont="1" applyFill="1" applyBorder="1" applyProtection="1">
      <protection locked="0"/>
    </xf>
    <xf numFmtId="0" fontId="11" fillId="3" borderId="23" xfId="0" applyFont="1" applyFill="1" applyBorder="1" applyProtection="1">
      <protection locked="0"/>
    </xf>
    <xf numFmtId="0" fontId="11" fillId="3" borderId="13" xfId="0" applyFont="1" applyFill="1" applyBorder="1" applyProtection="1">
      <protection locked="0"/>
    </xf>
    <xf numFmtId="0" fontId="11" fillId="3" borderId="24" xfId="0" applyFont="1" applyFill="1" applyBorder="1" applyProtection="1">
      <protection locked="0"/>
    </xf>
    <xf numFmtId="0" fontId="17" fillId="3" borderId="22" xfId="0" applyFont="1" applyFill="1" applyBorder="1" applyProtection="1">
      <protection locked="0"/>
    </xf>
    <xf numFmtId="0" fontId="9" fillId="3" borderId="0" xfId="0" applyFont="1" applyFill="1" applyBorder="1" applyProtection="1">
      <protection locked="0"/>
    </xf>
    <xf numFmtId="0" fontId="9" fillId="3" borderId="7" xfId="0" applyFont="1" applyFill="1" applyBorder="1" applyProtection="1">
      <protection locked="0"/>
    </xf>
    <xf numFmtId="0" fontId="17" fillId="3" borderId="22" xfId="0" applyFont="1" applyFill="1" applyBorder="1" applyAlignment="1" applyProtection="1">
      <protection locked="0"/>
    </xf>
    <xf numFmtId="0" fontId="9" fillId="3" borderId="0" xfId="0" applyFont="1" applyFill="1" applyBorder="1" applyAlignment="1" applyProtection="1">
      <protection locked="0"/>
    </xf>
    <xf numFmtId="0" fontId="9" fillId="3" borderId="7" xfId="0" applyFont="1" applyFill="1" applyBorder="1" applyAlignment="1" applyProtection="1">
      <protection locked="0"/>
    </xf>
    <xf numFmtId="0" fontId="0" fillId="3" borderId="0" xfId="0" applyFill="1" applyProtection="1">
      <protection locked="0"/>
    </xf>
    <xf numFmtId="0" fontId="3" fillId="3" borderId="18" xfId="0" applyFont="1" applyFill="1" applyBorder="1" applyAlignment="1" applyProtection="1">
      <alignment horizontal="center" shrinkToFit="1"/>
      <protection locked="0"/>
    </xf>
    <xf numFmtId="14" fontId="0" fillId="3" borderId="1" xfId="0" applyNumberFormat="1" applyFont="1" applyFill="1" applyBorder="1" applyAlignment="1" applyProtection="1">
      <alignment horizontal="center"/>
      <protection locked="0"/>
    </xf>
    <xf numFmtId="0" fontId="15" fillId="3" borderId="8" xfId="0" applyFont="1" applyFill="1" applyBorder="1" applyAlignment="1" applyProtection="1">
      <alignment horizontal="left"/>
      <protection locked="0"/>
    </xf>
    <xf numFmtId="0" fontId="4" fillId="3" borderId="8" xfId="0" applyFont="1" applyFill="1" applyBorder="1" applyAlignment="1" applyProtection="1">
      <alignment horizontal="left"/>
      <protection locked="0"/>
    </xf>
    <xf numFmtId="3" fontId="4" fillId="3" borderId="8" xfId="0" applyNumberFormat="1" applyFont="1" applyFill="1" applyBorder="1" applyAlignment="1" applyProtection="1">
      <protection locked="0"/>
    </xf>
    <xf numFmtId="3" fontId="4" fillId="3" borderId="8" xfId="1" applyNumberFormat="1" applyFont="1" applyFill="1" applyBorder="1" applyAlignment="1" applyProtection="1">
      <protection locked="0"/>
    </xf>
    <xf numFmtId="0" fontId="3" fillId="3" borderId="0" xfId="0" applyFont="1" applyFill="1" applyBorder="1" applyAlignment="1" applyProtection="1">
      <alignment horizontal="center"/>
      <protection locked="0"/>
    </xf>
    <xf numFmtId="0" fontId="0" fillId="0" borderId="0" xfId="0" applyBorder="1" applyAlignment="1"/>
    <xf numFmtId="0" fontId="0" fillId="0" borderId="0" xfId="0" applyAlignment="1"/>
    <xf numFmtId="0" fontId="0" fillId="3" borderId="0" xfId="0" applyFill="1" applyAlignment="1">
      <alignment wrapText="1"/>
    </xf>
    <xf numFmtId="0" fontId="0" fillId="3" borderId="0" xfId="0" applyFill="1" applyAlignment="1"/>
    <xf numFmtId="0" fontId="17" fillId="3" borderId="0" xfId="0" applyFont="1" applyFill="1" applyBorder="1" applyAlignment="1" applyProtection="1">
      <alignment horizontal="center"/>
      <protection locked="0"/>
    </xf>
    <xf numFmtId="49" fontId="0" fillId="0" borderId="1" xfId="0" applyNumberFormat="1" applyFont="1" applyBorder="1"/>
    <xf numFmtId="0" fontId="3" fillId="2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3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" fillId="0" borderId="5" xfId="0" quotePrefix="1" applyFont="1" applyBorder="1" applyAlignment="1">
      <alignment horizontal="center" vertical="center"/>
    </xf>
    <xf numFmtId="0" fontId="1" fillId="0" borderId="9" xfId="0" quotePrefix="1" applyFont="1" applyBorder="1" applyAlignment="1">
      <alignment horizontal="center" vertical="center"/>
    </xf>
    <xf numFmtId="0" fontId="1" fillId="0" borderId="5" xfId="0" quotePrefix="1" applyFont="1" applyBorder="1" applyAlignment="1">
      <alignment horizontal="center"/>
    </xf>
    <xf numFmtId="0" fontId="1" fillId="0" borderId="8" xfId="0" quotePrefix="1" applyFont="1" applyBorder="1" applyAlignment="1">
      <alignment horizontal="center"/>
    </xf>
    <xf numFmtId="0" fontId="1" fillId="0" borderId="9" xfId="0" quotePrefix="1" applyFont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3" fillId="3" borderId="22" xfId="0" applyFont="1" applyFill="1" applyBorder="1" applyAlignment="1" applyProtection="1">
      <alignment horizontal="center"/>
      <protection locked="0"/>
    </xf>
    <xf numFmtId="0" fontId="3" fillId="3" borderId="0" xfId="0" applyFont="1" applyFill="1" applyBorder="1" applyAlignment="1" applyProtection="1">
      <alignment horizontal="center"/>
      <protection locked="0"/>
    </xf>
    <xf numFmtId="0" fontId="17" fillId="3" borderId="30" xfId="0" applyFont="1" applyFill="1" applyBorder="1" applyAlignment="1" applyProtection="1">
      <alignment horizontal="center"/>
      <protection locked="0"/>
    </xf>
    <xf numFmtId="0" fontId="17" fillId="3" borderId="4" xfId="0" applyFont="1" applyFill="1" applyBorder="1" applyAlignment="1" applyProtection="1">
      <alignment horizontal="center"/>
      <protection locked="0"/>
    </xf>
    <xf numFmtId="0" fontId="9" fillId="3" borderId="19" xfId="0" applyFont="1" applyFill="1" applyBorder="1" applyAlignment="1" applyProtection="1">
      <alignment horizontal="center"/>
      <protection locked="0"/>
    </xf>
    <xf numFmtId="0" fontId="9" fillId="3" borderId="20" xfId="0" applyFont="1" applyFill="1" applyBorder="1" applyAlignment="1" applyProtection="1">
      <alignment horizontal="center"/>
      <protection locked="0"/>
    </xf>
    <xf numFmtId="0" fontId="10" fillId="3" borderId="20" xfId="0" applyFont="1" applyFill="1" applyBorder="1" applyAlignment="1" applyProtection="1">
      <alignment horizontal="center"/>
      <protection locked="0"/>
    </xf>
    <xf numFmtId="0" fontId="10" fillId="3" borderId="21" xfId="0" applyFont="1" applyFill="1" applyBorder="1" applyAlignment="1" applyProtection="1">
      <alignment horizontal="center"/>
      <protection locked="0"/>
    </xf>
    <xf numFmtId="0" fontId="9" fillId="3" borderId="2" xfId="0" applyFont="1" applyFill="1" applyBorder="1" applyAlignment="1" applyProtection="1">
      <alignment horizontal="center" vertical="center"/>
      <protection locked="0"/>
    </xf>
    <xf numFmtId="0" fontId="9" fillId="3" borderId="3" xfId="0" applyFont="1" applyFill="1" applyBorder="1" applyAlignment="1" applyProtection="1">
      <alignment horizontal="center" vertical="center"/>
      <protection locked="0"/>
    </xf>
    <xf numFmtId="0" fontId="9" fillId="3" borderId="22" xfId="0" applyFont="1" applyFill="1" applyBorder="1" applyAlignment="1" applyProtection="1">
      <alignment horizontal="center" shrinkToFit="1"/>
      <protection locked="0"/>
    </xf>
    <xf numFmtId="0" fontId="9" fillId="3" borderId="0" xfId="0" applyFont="1" applyFill="1" applyBorder="1" applyAlignment="1" applyProtection="1">
      <alignment horizontal="center" shrinkToFit="1"/>
      <protection locked="0"/>
    </xf>
    <xf numFmtId="14" fontId="3" fillId="3" borderId="12" xfId="0" applyNumberFormat="1" applyFont="1" applyFill="1" applyBorder="1" applyAlignment="1" applyProtection="1">
      <alignment horizontal="center"/>
      <protection locked="0"/>
    </xf>
    <xf numFmtId="14" fontId="3" fillId="3" borderId="23" xfId="0" applyNumberFormat="1" applyFont="1" applyFill="1" applyBorder="1" applyAlignment="1" applyProtection="1">
      <alignment horizontal="center"/>
      <protection locked="0"/>
    </xf>
    <xf numFmtId="0" fontId="3" fillId="3" borderId="14" xfId="0" applyFont="1" applyFill="1" applyBorder="1" applyAlignment="1" applyProtection="1">
      <alignment horizontal="center" vertical="center" wrapText="1"/>
      <protection locked="0"/>
    </xf>
    <xf numFmtId="0" fontId="3" fillId="3" borderId="5" xfId="0" applyFont="1" applyFill="1" applyBorder="1" applyAlignment="1" applyProtection="1">
      <alignment horizontal="center" vertical="center" wrapText="1"/>
      <protection locked="0"/>
    </xf>
    <xf numFmtId="0" fontId="3" fillId="3" borderId="29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3" fillId="3" borderId="26" xfId="0" applyFont="1" applyFill="1" applyBorder="1" applyAlignment="1" applyProtection="1">
      <alignment horizontal="center" vertical="center" wrapText="1"/>
      <protection locked="0"/>
    </xf>
    <xf numFmtId="0" fontId="3" fillId="3" borderId="27" xfId="0" applyFont="1" applyFill="1" applyBorder="1" applyAlignment="1" applyProtection="1">
      <alignment horizontal="center" vertical="center" wrapText="1"/>
      <protection locked="0"/>
    </xf>
    <xf numFmtId="0" fontId="3" fillId="3" borderId="28" xfId="0" applyFont="1" applyFill="1" applyBorder="1" applyAlignment="1" applyProtection="1">
      <alignment horizontal="center" vertical="center" wrapText="1"/>
      <protection locked="0"/>
    </xf>
    <xf numFmtId="0" fontId="9" fillId="3" borderId="4" xfId="0" applyFont="1" applyFill="1" applyBorder="1" applyAlignment="1" applyProtection="1">
      <alignment horizontal="center" shrinkToFit="1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5" xfId="0" applyFont="1" applyFill="1" applyBorder="1" applyAlignment="1" applyProtection="1">
      <alignment horizontal="center"/>
      <protection locked="0"/>
    </xf>
    <xf numFmtId="0" fontId="3" fillId="3" borderId="7" xfId="0" applyFont="1" applyFill="1" applyBorder="1" applyAlignment="1" applyProtection="1">
      <alignment horizontal="center"/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33</xdr:row>
      <xdr:rowOff>171450</xdr:rowOff>
    </xdr:from>
    <xdr:to>
      <xdr:col>3</xdr:col>
      <xdr:colOff>990600</xdr:colOff>
      <xdr:row>35</xdr:row>
      <xdr:rowOff>123825</xdr:rowOff>
    </xdr:to>
    <xdr:sp macro="[0]!save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81275" y="8058150"/>
          <a:ext cx="8382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Save</a:t>
          </a:r>
        </a:p>
      </xdr:txBody>
    </xdr:sp>
    <xdr:clientData/>
  </xdr:twoCellAnchor>
  <xdr:twoCellAnchor>
    <xdr:from>
      <xdr:col>6</xdr:col>
      <xdr:colOff>676275</xdr:colOff>
      <xdr:row>28</xdr:row>
      <xdr:rowOff>133350</xdr:rowOff>
    </xdr:from>
    <xdr:to>
      <xdr:col>7</xdr:col>
      <xdr:colOff>190500</xdr:colOff>
      <xdr:row>30</xdr:row>
      <xdr:rowOff>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67425" y="6591300"/>
          <a:ext cx="200025" cy="2667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+</a:t>
          </a:r>
          <a:endParaRPr lang="en-US" sz="2400"/>
        </a:p>
      </xdr:txBody>
    </xdr:sp>
    <xdr:clientData/>
  </xdr:twoCellAnchor>
  <xdr:twoCellAnchor>
    <xdr:from>
      <xdr:col>4</xdr:col>
      <xdr:colOff>123825</xdr:colOff>
      <xdr:row>33</xdr:row>
      <xdr:rowOff>171450</xdr:rowOff>
    </xdr:from>
    <xdr:to>
      <xdr:col>4</xdr:col>
      <xdr:colOff>962025</xdr:colOff>
      <xdr:row>35</xdr:row>
      <xdr:rowOff>123825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743325" y="8058150"/>
          <a:ext cx="838200" cy="352425"/>
        </a:xfrm>
        <a:prstGeom prst="roundRect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Cancel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15</xdr:row>
          <xdr:rowOff>28575</xdr:rowOff>
        </xdr:from>
        <xdr:to>
          <xdr:col>3</xdr:col>
          <xdr:colOff>314325</xdr:colOff>
          <xdr:row>18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Nhập xuất xăng dầu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15</xdr:row>
          <xdr:rowOff>57150</xdr:rowOff>
        </xdr:from>
        <xdr:to>
          <xdr:col>4</xdr:col>
          <xdr:colOff>561975</xdr:colOff>
          <xdr:row>17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Import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13</xdr:row>
          <xdr:rowOff>28575</xdr:rowOff>
        </xdr:from>
        <xdr:to>
          <xdr:col>7</xdr:col>
          <xdr:colOff>609600</xdr:colOff>
          <xdr:row>15</xdr:row>
          <xdr:rowOff>190500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17</xdr:row>
          <xdr:rowOff>76200</xdr:rowOff>
        </xdr:from>
        <xdr:to>
          <xdr:col>7</xdr:col>
          <xdr:colOff>619125</xdr:colOff>
          <xdr:row>20</xdr:row>
          <xdr:rowOff>38100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781050</xdr:colOff>
      <xdr:row>3</xdr:row>
      <xdr:rowOff>0</xdr:rowOff>
    </xdr:from>
    <xdr:to>
      <xdr:col>3</xdr:col>
      <xdr:colOff>228600</xdr:colOff>
      <xdr:row>3</xdr:row>
      <xdr:rowOff>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B1F88458-0786-47BF-A582-B2D7837BC4F3}"/>
            </a:ext>
          </a:extLst>
        </xdr:cNvPr>
        <xdr:cNvCxnSpPr/>
      </xdr:nvCxnSpPr>
      <xdr:spPr>
        <a:xfrm>
          <a:off x="1314450" y="1343025"/>
          <a:ext cx="4857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FORM"/>
  <dimension ref="B1:Q37"/>
  <sheetViews>
    <sheetView topLeftCell="A16" workbookViewId="0">
      <selection activeCell="F36" sqref="F36"/>
    </sheetView>
  </sheetViews>
  <sheetFormatPr defaultRowHeight="15.75" zeroHeight="1"/>
  <cols>
    <col min="2" max="2" width="4.125" customWidth="1"/>
    <col min="3" max="3" width="18.75" customWidth="1"/>
    <col min="4" max="4" width="15.625" customWidth="1"/>
    <col min="5" max="5" width="12" customWidth="1"/>
    <col min="7" max="7" width="14.75" customWidth="1"/>
    <col min="12" max="12" width="16" customWidth="1"/>
    <col min="13" max="13" width="15.375" customWidth="1"/>
    <col min="14" max="14" width="14.5" customWidth="1"/>
    <col min="15" max="15" width="16.25" customWidth="1"/>
    <col min="16" max="16" width="16.375" customWidth="1"/>
    <col min="17" max="17" width="21.125" customWidth="1"/>
  </cols>
  <sheetData>
    <row r="1" hidden="1"/>
    <row r="2" hidden="1"/>
    <row r="3" hidden="1"/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/>
    <row r="17" spans="2:17"/>
    <row r="18" spans="2:17"/>
    <row r="19" spans="2:17" ht="23.25" customHeight="1">
      <c r="B19" s="133" t="s">
        <v>0</v>
      </c>
      <c r="C19" s="133"/>
      <c r="D19" s="133"/>
      <c r="E19" s="133"/>
      <c r="F19" s="133"/>
      <c r="G19" s="133"/>
      <c r="H19" s="133"/>
      <c r="I19" t="s">
        <v>9</v>
      </c>
      <c r="L19" s="1" t="s">
        <v>3</v>
      </c>
      <c r="M19" s="1" t="s">
        <v>5</v>
      </c>
      <c r="N19" s="1" t="s">
        <v>4</v>
      </c>
      <c r="O19" s="1" t="s">
        <v>1</v>
      </c>
      <c r="P19" s="1" t="s">
        <v>2</v>
      </c>
      <c r="Q19" s="1" t="s">
        <v>6</v>
      </c>
    </row>
    <row r="20" spans="2:17">
      <c r="L20" t="str">
        <f>D21</f>
        <v>f bộ</v>
      </c>
      <c r="M20" t="str">
        <f>D22</f>
        <v>d Nà Sản</v>
      </c>
      <c r="N20">
        <f>D23</f>
        <v>0</v>
      </c>
      <c r="O20">
        <f>D24</f>
        <v>0</v>
      </c>
      <c r="P20">
        <f>D25</f>
        <v>0</v>
      </c>
      <c r="Q20">
        <f>D26</f>
        <v>0</v>
      </c>
    </row>
    <row r="21" spans="2:17" ht="27" customHeight="1">
      <c r="C21" s="1" t="s">
        <v>3</v>
      </c>
      <c r="D21" s="55" t="s">
        <v>66</v>
      </c>
      <c r="E21" s="56" t="s">
        <v>7</v>
      </c>
      <c r="F21" s="56"/>
      <c r="G21" s="56" t="s">
        <v>10</v>
      </c>
      <c r="H21" s="3"/>
    </row>
    <row r="22" spans="2:17" ht="27" customHeight="1">
      <c r="C22" s="1" t="s">
        <v>5</v>
      </c>
      <c r="D22" s="55" t="s">
        <v>61</v>
      </c>
      <c r="E22" s="56" t="s">
        <v>8</v>
      </c>
      <c r="F22" s="56"/>
      <c r="G22" s="56" t="s">
        <v>11</v>
      </c>
      <c r="H22" s="3"/>
    </row>
    <row r="23" spans="2:17" ht="27" customHeight="1">
      <c r="C23" s="1" t="s">
        <v>4</v>
      </c>
      <c r="D23" s="55"/>
      <c r="G23" s="3"/>
      <c r="H23" s="3"/>
    </row>
    <row r="24" spans="2:17" ht="27" customHeight="1">
      <c r="C24" s="1" t="s">
        <v>1</v>
      </c>
      <c r="D24" s="55"/>
      <c r="G24" s="3"/>
      <c r="H24" s="3"/>
    </row>
    <row r="25" spans="2:17" ht="27" customHeight="1">
      <c r="C25" s="1" t="s">
        <v>2</v>
      </c>
      <c r="D25" s="55"/>
      <c r="G25" s="3"/>
      <c r="H25" s="3"/>
    </row>
    <row r="26" spans="2:17" ht="27" customHeight="1">
      <c r="C26" s="1" t="s">
        <v>6</v>
      </c>
      <c r="D26" s="55"/>
      <c r="G26" s="3"/>
      <c r="H26" s="3"/>
    </row>
    <row r="27" spans="2:17"/>
    <row r="28" spans="2:17"/>
    <row r="29" spans="2:17">
      <c r="H29" s="3"/>
    </row>
    <row r="30" spans="2:17"/>
    <row r="31" spans="2:17" ht="27" customHeight="1">
      <c r="B31" s="1" t="s">
        <v>13</v>
      </c>
      <c r="C31" s="1" t="s">
        <v>14</v>
      </c>
      <c r="D31" s="1" t="s">
        <v>12</v>
      </c>
      <c r="E31" s="1" t="s">
        <v>15</v>
      </c>
      <c r="F31" s="1" t="s">
        <v>16</v>
      </c>
      <c r="G31" s="1" t="s">
        <v>17</v>
      </c>
    </row>
    <row r="32" spans="2:17" ht="27" customHeight="1">
      <c r="B32" s="1">
        <v>1</v>
      </c>
      <c r="C32" s="1"/>
      <c r="D32" s="1"/>
      <c r="E32" s="1"/>
      <c r="F32" s="1"/>
      <c r="G32" s="1"/>
    </row>
    <row r="33" spans="2:7" ht="27" customHeight="1">
      <c r="B33" s="1">
        <v>2</v>
      </c>
      <c r="C33" s="1"/>
      <c r="D33" s="1"/>
      <c r="E33" s="1"/>
      <c r="F33" s="1"/>
      <c r="G33" s="1"/>
    </row>
    <row r="34" spans="2:7"/>
    <row r="35" spans="2:7"/>
    <row r="36" spans="2:7"/>
    <row r="37" spans="2:7"/>
  </sheetData>
  <mergeCells count="1">
    <mergeCell ref="B19:H19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Take data from list" error="click to choose data">
          <x14:formula1>
            <xm:f>SO_CAI!$Y$11:$Y$19</xm:f>
          </x14:formula1>
          <xm:sqref>D21:D22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36" sqref="F36"/>
    </sheetView>
  </sheetViews>
  <sheetFormatPr defaultRowHeight="15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4"/>
  <sheetViews>
    <sheetView workbookViewId="0">
      <selection activeCell="F36" sqref="F36"/>
    </sheetView>
  </sheetViews>
  <sheetFormatPr defaultRowHeight="15.75"/>
  <cols>
    <col min="1" max="1" width="13.25" customWidth="1"/>
    <col min="2" max="2" width="19.25" customWidth="1"/>
    <col min="3" max="3" width="17" customWidth="1"/>
  </cols>
  <sheetData>
    <row r="2" spans="2:3">
      <c r="B2" t="s">
        <v>243</v>
      </c>
      <c r="C2" t="s">
        <v>245</v>
      </c>
    </row>
    <row r="3" spans="2:3">
      <c r="B3" t="s">
        <v>242</v>
      </c>
      <c r="C3" t="s">
        <v>246</v>
      </c>
    </row>
    <row r="4" spans="2:3">
      <c r="B4" t="s">
        <v>244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DATA"/>
  <dimension ref="A1:M36"/>
  <sheetViews>
    <sheetView topLeftCell="A7" workbookViewId="0">
      <selection activeCell="F36" sqref="F36"/>
    </sheetView>
  </sheetViews>
  <sheetFormatPr defaultRowHeight="15.75"/>
  <cols>
    <col min="1" max="1" width="9.75" customWidth="1"/>
    <col min="2" max="2" width="11.375" customWidth="1"/>
    <col min="3" max="3" width="9.75" customWidth="1"/>
    <col min="4" max="4" width="7.375" customWidth="1"/>
    <col min="5" max="5" width="16.375" style="18" customWidth="1"/>
    <col min="6" max="6" width="9.75" customWidth="1"/>
    <col min="7" max="7" width="12.625" customWidth="1"/>
    <col min="8" max="8" width="18" customWidth="1"/>
  </cols>
  <sheetData>
    <row r="1" spans="1:13">
      <c r="A1" s="1" t="s">
        <v>204</v>
      </c>
      <c r="B1" s="1" t="s">
        <v>205</v>
      </c>
      <c r="C1" s="1" t="s">
        <v>206</v>
      </c>
      <c r="D1" s="1" t="s">
        <v>207</v>
      </c>
      <c r="E1" s="57" t="s">
        <v>208</v>
      </c>
      <c r="F1" s="3"/>
      <c r="G1" s="3"/>
    </row>
    <row r="2" spans="1:13">
      <c r="A2">
        <v>1</v>
      </c>
      <c r="B2" t="s">
        <v>53</v>
      </c>
      <c r="C2">
        <v>202</v>
      </c>
      <c r="D2">
        <v>21021</v>
      </c>
      <c r="E2" s="18">
        <f>C2*D2</f>
        <v>4246242</v>
      </c>
    </row>
    <row r="3" spans="1:13">
      <c r="A3">
        <v>2</v>
      </c>
      <c r="B3" t="s">
        <v>61</v>
      </c>
      <c r="C3">
        <v>70</v>
      </c>
      <c r="D3">
        <v>23335</v>
      </c>
      <c r="E3" s="18">
        <f>C3*D3</f>
        <v>1633450</v>
      </c>
    </row>
    <row r="4" spans="1:13">
      <c r="A4">
        <v>3</v>
      </c>
      <c r="B4" t="s">
        <v>61</v>
      </c>
      <c r="C4">
        <v>1373</v>
      </c>
      <c r="D4">
        <v>23032</v>
      </c>
      <c r="E4" s="18">
        <f>C4*D4</f>
        <v>31622936</v>
      </c>
    </row>
    <row r="11" spans="1:13">
      <c r="F11" s="15" t="s">
        <v>51</v>
      </c>
      <c r="G11" s="15" t="s">
        <v>214</v>
      </c>
      <c r="H11" s="15" t="s">
        <v>52</v>
      </c>
      <c r="I11" s="59"/>
      <c r="J11" s="1" t="s">
        <v>204</v>
      </c>
      <c r="K11" s="1" t="s">
        <v>205</v>
      </c>
      <c r="L11" s="1" t="s">
        <v>209</v>
      </c>
      <c r="M11" s="1" t="s">
        <v>206</v>
      </c>
    </row>
    <row r="12" spans="1:13">
      <c r="F12" s="15">
        <v>1</v>
      </c>
      <c r="G12" s="1" t="s">
        <v>215</v>
      </c>
      <c r="H12" s="1" t="s">
        <v>240</v>
      </c>
    </row>
    <row r="13" spans="1:13">
      <c r="F13" s="15">
        <v>2</v>
      </c>
      <c r="G13" s="1" t="s">
        <v>215</v>
      </c>
      <c r="H13" s="1" t="s">
        <v>216</v>
      </c>
    </row>
    <row r="14" spans="1:13">
      <c r="F14" s="15">
        <v>3</v>
      </c>
      <c r="G14" s="1" t="s">
        <v>215</v>
      </c>
      <c r="H14" s="1" t="s">
        <v>217</v>
      </c>
    </row>
    <row r="15" spans="1:13">
      <c r="F15" s="15">
        <v>4</v>
      </c>
      <c r="G15" s="1" t="s">
        <v>215</v>
      </c>
      <c r="H15" s="1" t="s">
        <v>218</v>
      </c>
    </row>
    <row r="16" spans="1:13">
      <c r="F16" s="15">
        <v>5</v>
      </c>
      <c r="G16" s="1" t="s">
        <v>215</v>
      </c>
      <c r="H16" s="1" t="s">
        <v>219</v>
      </c>
    </row>
    <row r="17" spans="6:8">
      <c r="F17" s="15">
        <v>6</v>
      </c>
      <c r="G17" s="1" t="s">
        <v>215</v>
      </c>
      <c r="H17" s="1" t="s">
        <v>220</v>
      </c>
    </row>
    <row r="18" spans="6:8">
      <c r="F18" s="15">
        <v>7</v>
      </c>
      <c r="G18" s="1" t="s">
        <v>241</v>
      </c>
      <c r="H18" s="1" t="s">
        <v>220</v>
      </c>
    </row>
    <row r="19" spans="6:8">
      <c r="F19" s="15">
        <v>8</v>
      </c>
      <c r="G19" s="15" t="s">
        <v>221</v>
      </c>
      <c r="H19" s="1" t="s">
        <v>222</v>
      </c>
    </row>
    <row r="20" spans="6:8">
      <c r="F20" s="15">
        <v>9</v>
      </c>
      <c r="G20" s="15" t="s">
        <v>221</v>
      </c>
      <c r="H20" s="1" t="s">
        <v>223</v>
      </c>
    </row>
    <row r="21" spans="6:8">
      <c r="F21" s="15">
        <v>10</v>
      </c>
      <c r="G21" s="15" t="s">
        <v>221</v>
      </c>
      <c r="H21" s="1" t="s">
        <v>224</v>
      </c>
    </row>
    <row r="22" spans="6:8">
      <c r="F22" s="15">
        <v>11</v>
      </c>
      <c r="G22" s="15" t="s">
        <v>221</v>
      </c>
      <c r="H22" s="1" t="s">
        <v>225</v>
      </c>
    </row>
    <row r="23" spans="6:8">
      <c r="F23" s="15">
        <v>12</v>
      </c>
      <c r="G23" s="15" t="s">
        <v>221</v>
      </c>
      <c r="H23" s="1" t="s">
        <v>226</v>
      </c>
    </row>
    <row r="24" spans="6:8">
      <c r="F24" s="15">
        <v>13</v>
      </c>
      <c r="G24" s="15" t="s">
        <v>213</v>
      </c>
      <c r="H24" s="1" t="s">
        <v>227</v>
      </c>
    </row>
    <row r="25" spans="6:8">
      <c r="F25" s="15">
        <v>14</v>
      </c>
      <c r="G25" s="15" t="s">
        <v>213</v>
      </c>
      <c r="H25" s="1" t="s">
        <v>228</v>
      </c>
    </row>
    <row r="26" spans="6:8">
      <c r="F26" s="15">
        <v>15</v>
      </c>
      <c r="G26" s="15" t="s">
        <v>213</v>
      </c>
      <c r="H26" s="1" t="s">
        <v>229</v>
      </c>
    </row>
    <row r="27" spans="6:8">
      <c r="F27" s="15">
        <v>16</v>
      </c>
      <c r="G27" s="15" t="s">
        <v>213</v>
      </c>
      <c r="H27" s="1" t="s">
        <v>230</v>
      </c>
    </row>
    <row r="28" spans="6:8">
      <c r="F28" s="15">
        <v>17</v>
      </c>
      <c r="G28" s="15" t="s">
        <v>213</v>
      </c>
      <c r="H28" s="1" t="s">
        <v>231</v>
      </c>
    </row>
    <row r="29" spans="6:8">
      <c r="F29" s="15">
        <v>18</v>
      </c>
      <c r="G29" s="15" t="s">
        <v>232</v>
      </c>
      <c r="H29" s="1" t="s">
        <v>233</v>
      </c>
    </row>
    <row r="30" spans="6:8">
      <c r="F30" s="15">
        <v>19</v>
      </c>
      <c r="G30" s="15" t="s">
        <v>232</v>
      </c>
      <c r="H30" s="1" t="s">
        <v>234</v>
      </c>
    </row>
    <row r="31" spans="6:8">
      <c r="F31" s="15">
        <v>20</v>
      </c>
      <c r="G31" s="15" t="s">
        <v>232</v>
      </c>
      <c r="H31" s="1" t="s">
        <v>235</v>
      </c>
    </row>
    <row r="32" spans="6:8">
      <c r="F32" s="15">
        <v>21</v>
      </c>
      <c r="G32" s="15" t="s">
        <v>232</v>
      </c>
      <c r="H32" s="1" t="s">
        <v>236</v>
      </c>
    </row>
    <row r="33" spans="6:8">
      <c r="F33" s="15">
        <v>22</v>
      </c>
      <c r="G33" s="15" t="s">
        <v>232</v>
      </c>
      <c r="H33" s="1" t="s">
        <v>237</v>
      </c>
    </row>
    <row r="34" spans="6:8">
      <c r="F34" s="15">
        <v>23</v>
      </c>
      <c r="G34" s="15" t="s">
        <v>232</v>
      </c>
      <c r="H34" s="1" t="s">
        <v>238</v>
      </c>
    </row>
    <row r="35" spans="6:8">
      <c r="F35" s="15">
        <v>24</v>
      </c>
      <c r="G35" s="15" t="s">
        <v>232</v>
      </c>
      <c r="H35" s="1" t="s">
        <v>239</v>
      </c>
    </row>
    <row r="36" spans="6:8">
      <c r="F36" s="15">
        <v>25</v>
      </c>
      <c r="G36" s="60">
        <v>371</v>
      </c>
      <c r="H36" s="60">
        <v>371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1">
                <anchor moveWithCells="1" sizeWithCells="1">
                  <from>
                    <xdr:col>1</xdr:col>
                    <xdr:colOff>409575</xdr:colOff>
                    <xdr:row>15</xdr:row>
                    <xdr:rowOff>28575</xdr:rowOff>
                  </from>
                  <to>
                    <xdr:col>3</xdr:col>
                    <xdr:colOff>314325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F36" sqref="F36"/>
    </sheetView>
  </sheetViews>
  <sheetFormatPr defaultRowHeight="15.75"/>
  <cols>
    <col min="1" max="16384" width="9" style="58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t_data_from_file">
                <anchor moveWithCells="1" sizeWithCells="1">
                  <from>
                    <xdr:col>3</xdr:col>
                    <xdr:colOff>142875</xdr:colOff>
                    <xdr:row>15</xdr:row>
                    <xdr:rowOff>57150</xdr:rowOff>
                  </from>
                  <to>
                    <xdr:col>4</xdr:col>
                    <xdr:colOff>561975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form1">
                <anchor moveWithCells="1" sizeWithCells="1">
                  <from>
                    <xdr:col>5</xdr:col>
                    <xdr:colOff>466725</xdr:colOff>
                    <xdr:row>13</xdr:row>
                    <xdr:rowOff>28575</xdr:rowOff>
                  </from>
                  <to>
                    <xdr:col>7</xdr:col>
                    <xdr:colOff>609600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form1">
                <anchor moveWithCells="1" sizeWithCells="1">
                  <from>
                    <xdr:col>5</xdr:col>
                    <xdr:colOff>476250</xdr:colOff>
                    <xdr:row>17</xdr:row>
                    <xdr:rowOff>76200</xdr:rowOff>
                  </from>
                  <to>
                    <xdr:col>7</xdr:col>
                    <xdr:colOff>619125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20"/>
  <sheetViews>
    <sheetView workbookViewId="0">
      <selection activeCell="F36" sqref="F36"/>
    </sheetView>
  </sheetViews>
  <sheetFormatPr defaultRowHeight="15.75" zeroHeight="1"/>
  <sheetData>
    <row r="1" spans="1:21">
      <c r="A1" s="143" t="s">
        <v>18</v>
      </c>
      <c r="B1" s="143"/>
      <c r="C1" s="143"/>
      <c r="D1" s="143"/>
      <c r="E1" s="143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</row>
    <row r="2" spans="1:21">
      <c r="A2" s="143"/>
      <c r="B2" s="143"/>
      <c r="C2" s="143"/>
      <c r="D2" s="143"/>
      <c r="E2" s="143"/>
      <c r="F2" s="143" t="s">
        <v>19</v>
      </c>
      <c r="G2" s="143"/>
      <c r="H2" s="143"/>
      <c r="I2" s="143"/>
      <c r="J2" s="143"/>
      <c r="K2" s="143"/>
      <c r="L2" s="143"/>
      <c r="M2" s="5"/>
      <c r="N2" s="5"/>
      <c r="O2" s="5"/>
      <c r="P2" s="5"/>
      <c r="Q2" s="5"/>
      <c r="R2" s="5"/>
      <c r="S2" s="5"/>
      <c r="T2" s="5"/>
      <c r="U2" s="4"/>
    </row>
    <row r="3" spans="1:21">
      <c r="A3" s="4"/>
      <c r="B3" s="4"/>
      <c r="C3" s="4"/>
      <c r="D3" s="4"/>
      <c r="E3" s="4"/>
      <c r="F3" s="144" t="s">
        <v>20</v>
      </c>
      <c r="G3" s="144"/>
      <c r="H3" s="144"/>
      <c r="I3" s="144"/>
      <c r="J3" s="144"/>
      <c r="K3" s="144"/>
      <c r="L3" s="144"/>
      <c r="M3" s="6"/>
      <c r="N3" s="6"/>
      <c r="O3" s="6"/>
      <c r="P3" s="6"/>
      <c r="Q3" s="6"/>
      <c r="R3" s="6"/>
      <c r="S3" s="6"/>
      <c r="T3" s="6"/>
      <c r="U3" s="4"/>
    </row>
    <row r="4" spans="1:21">
      <c r="A4" s="4"/>
      <c r="B4" s="4"/>
      <c r="C4" s="4"/>
      <c r="D4" s="4" t="s">
        <v>21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</row>
    <row r="5" spans="1:21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</row>
    <row r="6" spans="1:21">
      <c r="A6" s="4"/>
      <c r="B6" s="4"/>
      <c r="C6" s="145" t="s">
        <v>22</v>
      </c>
      <c r="D6" s="146"/>
      <c r="E6" s="146"/>
      <c r="F6" s="146"/>
      <c r="G6" s="146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</row>
    <row r="7" spans="1:21">
      <c r="A7" s="4"/>
      <c r="B7" s="147" t="s">
        <v>23</v>
      </c>
      <c r="C7" s="150" t="s">
        <v>24</v>
      </c>
      <c r="D7" s="153" t="s">
        <v>25</v>
      </c>
      <c r="E7" s="154"/>
      <c r="F7" s="155"/>
      <c r="G7" s="153" t="s">
        <v>26</v>
      </c>
      <c r="H7" s="154"/>
      <c r="I7" s="154"/>
      <c r="J7" s="155"/>
      <c r="K7" s="150" t="s">
        <v>27</v>
      </c>
      <c r="L7" s="153" t="s">
        <v>28</v>
      </c>
      <c r="M7" s="154"/>
      <c r="N7" s="154"/>
      <c r="O7" s="154"/>
      <c r="P7" s="155"/>
      <c r="Q7" s="139" t="s">
        <v>29</v>
      </c>
      <c r="R7" s="139"/>
      <c r="S7" s="139"/>
      <c r="T7" s="7"/>
      <c r="U7" s="8" t="s">
        <v>30</v>
      </c>
    </row>
    <row r="8" spans="1:21">
      <c r="A8" s="4"/>
      <c r="B8" s="148"/>
      <c r="C8" s="151"/>
      <c r="D8" s="136" t="s">
        <v>31</v>
      </c>
      <c r="E8" s="136" t="s">
        <v>32</v>
      </c>
      <c r="F8" s="138" t="s">
        <v>33</v>
      </c>
      <c r="G8" s="140" t="s">
        <v>34</v>
      </c>
      <c r="H8" s="141"/>
      <c r="I8" s="136" t="s">
        <v>35</v>
      </c>
      <c r="J8" s="136" t="s">
        <v>36</v>
      </c>
      <c r="K8" s="148"/>
      <c r="L8" s="140" t="s">
        <v>37</v>
      </c>
      <c r="M8" s="142"/>
      <c r="N8" s="141"/>
      <c r="O8" s="138" t="s">
        <v>38</v>
      </c>
      <c r="P8" s="138" t="s">
        <v>33</v>
      </c>
      <c r="Q8" s="134" t="s">
        <v>39</v>
      </c>
      <c r="R8" s="136" t="s">
        <v>32</v>
      </c>
      <c r="S8" s="138" t="s">
        <v>33</v>
      </c>
      <c r="T8" s="9"/>
      <c r="U8" s="4"/>
    </row>
    <row r="9" spans="1:21" ht="31.5">
      <c r="A9" s="4"/>
      <c r="B9" s="149"/>
      <c r="C9" s="152"/>
      <c r="D9" s="137"/>
      <c r="E9" s="137"/>
      <c r="F9" s="137"/>
      <c r="G9" s="10" t="s">
        <v>40</v>
      </c>
      <c r="H9" s="10" t="s">
        <v>41</v>
      </c>
      <c r="I9" s="137"/>
      <c r="J9" s="137"/>
      <c r="K9" s="149"/>
      <c r="L9" s="11" t="s">
        <v>42</v>
      </c>
      <c r="M9" s="11" t="s">
        <v>43</v>
      </c>
      <c r="N9" s="11" t="s">
        <v>44</v>
      </c>
      <c r="O9" s="137"/>
      <c r="P9" s="137"/>
      <c r="Q9" s="135"/>
      <c r="R9" s="137"/>
      <c r="S9" s="137"/>
      <c r="T9" s="9"/>
      <c r="U9" s="4"/>
    </row>
    <row r="10" spans="1:21">
      <c r="A10" s="4"/>
      <c r="B10" s="12"/>
      <c r="C10" s="12" t="s">
        <v>45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9"/>
      <c r="U10" s="4"/>
    </row>
    <row r="11" spans="1:21">
      <c r="A11" s="4"/>
      <c r="B11" s="12"/>
      <c r="C11" s="12" t="s">
        <v>46</v>
      </c>
      <c r="D11" s="12"/>
      <c r="E11" s="12"/>
      <c r="F11" s="12" t="s">
        <v>47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9"/>
      <c r="U11" s="4"/>
    </row>
    <row r="12" spans="1:21">
      <c r="A12" s="4"/>
      <c r="B12" s="12"/>
      <c r="C12" s="12" t="s">
        <v>48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9"/>
      <c r="U12" s="4"/>
    </row>
    <row r="13" spans="1:21">
      <c r="A13" s="4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9"/>
      <c r="U13" s="4"/>
    </row>
    <row r="14" spans="1:21">
      <c r="A14" s="4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9"/>
      <c r="U14" s="4"/>
    </row>
    <row r="15" spans="1:21">
      <c r="A15" s="4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9"/>
      <c r="U15" s="4"/>
    </row>
    <row r="16" spans="1:21">
      <c r="A16" s="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9"/>
      <c r="U16" s="4"/>
    </row>
    <row r="17" spans="1:21">
      <c r="A17" s="4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9"/>
      <c r="U17" s="4"/>
    </row>
    <row r="18" spans="1:21">
      <c r="A18" s="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9"/>
      <c r="U18" s="4"/>
    </row>
    <row r="19" spans="1:21">
      <c r="A19" s="4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9"/>
      <c r="U19" s="4"/>
    </row>
    <row r="20" spans="1:21"/>
  </sheetData>
  <mergeCells count="23">
    <mergeCell ref="A1:E2"/>
    <mergeCell ref="F2:L2"/>
    <mergeCell ref="F3:L3"/>
    <mergeCell ref="C6:G6"/>
    <mergeCell ref="B7:B9"/>
    <mergeCell ref="C7:C9"/>
    <mergeCell ref="D7:F7"/>
    <mergeCell ref="G7:J7"/>
    <mergeCell ref="K7:K9"/>
    <mergeCell ref="L7:P7"/>
    <mergeCell ref="Q8:Q9"/>
    <mergeCell ref="R8:R9"/>
    <mergeCell ref="S8:S9"/>
    <mergeCell ref="Q7:S7"/>
    <mergeCell ref="D8:D9"/>
    <mergeCell ref="E8:E9"/>
    <mergeCell ref="F8:F9"/>
    <mergeCell ref="G8:H8"/>
    <mergeCell ref="I8:I9"/>
    <mergeCell ref="J8:J9"/>
    <mergeCell ref="L8:N8"/>
    <mergeCell ref="O8:O9"/>
    <mergeCell ref="P8:P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9:Y64"/>
  <sheetViews>
    <sheetView topLeftCell="A10" zoomScale="80" zoomScaleNormal="80" workbookViewId="0">
      <selection activeCell="G35" sqref="G35"/>
    </sheetView>
  </sheetViews>
  <sheetFormatPr defaultRowHeight="15.75"/>
  <cols>
    <col min="2" max="2" width="5.5" style="2" customWidth="1"/>
    <col min="3" max="3" width="10.625" style="2" customWidth="1"/>
    <col min="4" max="4" width="13.375" style="61" customWidth="1"/>
    <col min="5" max="5" width="12" style="61" customWidth="1"/>
    <col min="6" max="6" width="12.625" customWidth="1"/>
    <col min="7" max="9" width="10.25" customWidth="1"/>
    <col min="10" max="10" width="15.875" customWidth="1"/>
    <col min="11" max="11" width="22.375" customWidth="1"/>
    <col min="12" max="12" width="15.5" customWidth="1"/>
    <col min="13" max="19" width="13.5" customWidth="1"/>
    <col min="20" max="20" width="11.25" customWidth="1"/>
    <col min="21" max="21" width="15.5" style="18" customWidth="1"/>
    <col min="24" max="24" width="5" customWidth="1"/>
    <col min="25" max="25" width="11.5" customWidth="1"/>
  </cols>
  <sheetData>
    <row r="9" spans="2:25">
      <c r="B9" s="13"/>
      <c r="C9" s="13"/>
      <c r="D9" s="62"/>
      <c r="E9" s="62"/>
      <c r="F9" s="13"/>
      <c r="U9" s="14"/>
    </row>
    <row r="10" spans="2:25">
      <c r="B10" s="15" t="s">
        <v>13</v>
      </c>
      <c r="C10" s="15" t="s">
        <v>280</v>
      </c>
      <c r="D10" s="15" t="s">
        <v>278</v>
      </c>
      <c r="E10" s="15" t="s">
        <v>279</v>
      </c>
      <c r="F10" s="15" t="s">
        <v>49</v>
      </c>
      <c r="G10" s="15" t="s">
        <v>50</v>
      </c>
      <c r="H10" s="15" t="s">
        <v>281</v>
      </c>
      <c r="I10" s="15" t="s">
        <v>282</v>
      </c>
      <c r="J10" s="15" t="s">
        <v>284</v>
      </c>
      <c r="K10" s="15" t="s">
        <v>283</v>
      </c>
      <c r="L10" s="15" t="s">
        <v>285</v>
      </c>
      <c r="M10" s="15" t="s">
        <v>286</v>
      </c>
      <c r="N10" s="15" t="s">
        <v>287</v>
      </c>
      <c r="O10" s="63" t="s">
        <v>288</v>
      </c>
      <c r="P10" s="63" t="s">
        <v>289</v>
      </c>
      <c r="Q10" s="15" t="s">
        <v>290</v>
      </c>
      <c r="R10" s="15" t="s">
        <v>291</v>
      </c>
      <c r="S10" s="63" t="s">
        <v>292</v>
      </c>
      <c r="T10" s="15" t="s">
        <v>293</v>
      </c>
      <c r="U10" s="16" t="s">
        <v>329</v>
      </c>
      <c r="X10" s="15" t="s">
        <v>51</v>
      </c>
      <c r="Y10" s="15" t="s">
        <v>52</v>
      </c>
    </row>
    <row r="11" spans="2:25">
      <c r="B11" s="15">
        <v>1</v>
      </c>
      <c r="C11" s="15" t="s">
        <v>53</v>
      </c>
      <c r="D11" s="15" t="s">
        <v>250</v>
      </c>
      <c r="E11" s="15" t="s">
        <v>247</v>
      </c>
      <c r="F11" s="1" t="s">
        <v>54</v>
      </c>
      <c r="G11" s="1" t="s">
        <v>55</v>
      </c>
      <c r="H11" s="1" t="s">
        <v>210</v>
      </c>
      <c r="I11" s="1">
        <v>1</v>
      </c>
      <c r="J11" s="1" t="s">
        <v>262</v>
      </c>
      <c r="K11" s="1" t="s">
        <v>263</v>
      </c>
      <c r="L11" s="1" t="s">
        <v>264</v>
      </c>
      <c r="M11" s="1" t="s">
        <v>265</v>
      </c>
      <c r="N11" s="1">
        <v>1</v>
      </c>
      <c r="O11" s="1">
        <v>8055</v>
      </c>
      <c r="P11" s="1">
        <v>25</v>
      </c>
      <c r="Q11" s="1"/>
      <c r="R11" s="1">
        <v>1</v>
      </c>
      <c r="S11" s="1">
        <v>7999</v>
      </c>
      <c r="T11" s="17">
        <v>20413</v>
      </c>
      <c r="U11" s="17">
        <f>T11*S11</f>
        <v>163283587</v>
      </c>
      <c r="X11" s="15">
        <v>1</v>
      </c>
      <c r="Y11" s="1" t="s">
        <v>56</v>
      </c>
    </row>
    <row r="12" spans="2:25">
      <c r="B12" s="15">
        <v>2</v>
      </c>
      <c r="C12" s="15" t="s">
        <v>53</v>
      </c>
      <c r="D12" s="15" t="s">
        <v>251</v>
      </c>
      <c r="E12" s="15" t="s">
        <v>247</v>
      </c>
      <c r="F12" s="1" t="s">
        <v>54</v>
      </c>
      <c r="G12" s="1" t="s">
        <v>55</v>
      </c>
      <c r="H12" s="1" t="s">
        <v>210</v>
      </c>
      <c r="I12" s="1">
        <v>2</v>
      </c>
      <c r="J12" s="1" t="s">
        <v>262</v>
      </c>
      <c r="K12" s="1" t="s">
        <v>263</v>
      </c>
      <c r="L12" s="1" t="s">
        <v>264</v>
      </c>
      <c r="M12" s="1" t="s">
        <v>266</v>
      </c>
      <c r="N12" s="1">
        <v>1</v>
      </c>
      <c r="O12" s="1">
        <v>8055</v>
      </c>
      <c r="P12" s="1">
        <v>25</v>
      </c>
      <c r="Q12" s="1"/>
      <c r="R12" s="1">
        <v>1</v>
      </c>
      <c r="S12" s="1">
        <v>8025</v>
      </c>
      <c r="T12" s="17">
        <v>24143</v>
      </c>
      <c r="U12" s="17">
        <f t="shared" ref="U12:U23" si="0">T12*S12</f>
        <v>193747575</v>
      </c>
      <c r="X12" s="15">
        <v>2</v>
      </c>
      <c r="Y12" s="1" t="s">
        <v>57</v>
      </c>
    </row>
    <row r="13" spans="2:25">
      <c r="B13" s="15">
        <v>3</v>
      </c>
      <c r="C13" s="15" t="s">
        <v>53</v>
      </c>
      <c r="D13" s="15" t="s">
        <v>252</v>
      </c>
      <c r="E13" s="15" t="s">
        <v>247</v>
      </c>
      <c r="F13" s="1" t="s">
        <v>54</v>
      </c>
      <c r="G13" s="1" t="s">
        <v>55</v>
      </c>
      <c r="H13" s="1" t="s">
        <v>210</v>
      </c>
      <c r="I13" s="1">
        <v>3</v>
      </c>
      <c r="J13" s="1" t="s">
        <v>262</v>
      </c>
      <c r="K13" s="1" t="s">
        <v>263</v>
      </c>
      <c r="L13" s="1" t="s">
        <v>264</v>
      </c>
      <c r="M13" s="1" t="s">
        <v>267</v>
      </c>
      <c r="N13" s="1">
        <v>1</v>
      </c>
      <c r="O13" s="1">
        <v>8055</v>
      </c>
      <c r="P13" s="1">
        <v>25</v>
      </c>
      <c r="Q13" s="1"/>
      <c r="R13" s="1">
        <v>1</v>
      </c>
      <c r="S13" s="1">
        <v>8051</v>
      </c>
      <c r="T13" s="17">
        <v>22120</v>
      </c>
      <c r="U13" s="17">
        <f t="shared" si="0"/>
        <v>178088120</v>
      </c>
      <c r="X13" s="15">
        <v>3</v>
      </c>
      <c r="Y13" s="1" t="s">
        <v>53</v>
      </c>
    </row>
    <row r="14" spans="2:25">
      <c r="B14" s="15">
        <v>4</v>
      </c>
      <c r="C14" s="15" t="s">
        <v>53</v>
      </c>
      <c r="D14" s="15" t="s">
        <v>253</v>
      </c>
      <c r="E14" s="15" t="s">
        <v>247</v>
      </c>
      <c r="F14" s="1" t="s">
        <v>54</v>
      </c>
      <c r="G14" s="1" t="s">
        <v>55</v>
      </c>
      <c r="H14" s="1" t="s">
        <v>210</v>
      </c>
      <c r="I14" s="1">
        <v>4</v>
      </c>
      <c r="J14" s="1" t="s">
        <v>262</v>
      </c>
      <c r="K14" s="1" t="s">
        <v>263</v>
      </c>
      <c r="L14" s="1" t="s">
        <v>264</v>
      </c>
      <c r="M14" s="1" t="s">
        <v>268</v>
      </c>
      <c r="N14" s="1">
        <v>1</v>
      </c>
      <c r="O14" s="1">
        <v>8055</v>
      </c>
      <c r="P14" s="1">
        <v>25</v>
      </c>
      <c r="Q14" s="1"/>
      <c r="R14" s="1">
        <v>1</v>
      </c>
      <c r="S14" s="1">
        <v>8077</v>
      </c>
      <c r="T14" s="17">
        <v>21865</v>
      </c>
      <c r="U14" s="17">
        <f t="shared" si="0"/>
        <v>176603605</v>
      </c>
      <c r="X14" s="15">
        <v>4</v>
      </c>
      <c r="Y14" s="1" t="s">
        <v>58</v>
      </c>
    </row>
    <row r="15" spans="2:25">
      <c r="B15" s="15">
        <v>5</v>
      </c>
      <c r="C15" s="15" t="s">
        <v>57</v>
      </c>
      <c r="D15" s="15" t="s">
        <v>251</v>
      </c>
      <c r="E15" s="15" t="s">
        <v>248</v>
      </c>
      <c r="F15" s="1" t="s">
        <v>59</v>
      </c>
      <c r="G15" s="1" t="s">
        <v>55</v>
      </c>
      <c r="H15" s="1" t="s">
        <v>210</v>
      </c>
      <c r="I15" s="1">
        <v>5</v>
      </c>
      <c r="J15" s="1" t="s">
        <v>262</v>
      </c>
      <c r="K15" s="1" t="s">
        <v>263</v>
      </c>
      <c r="L15" s="1" t="s">
        <v>264</v>
      </c>
      <c r="M15" s="1" t="s">
        <v>269</v>
      </c>
      <c r="N15" s="1">
        <v>1</v>
      </c>
      <c r="O15" s="1">
        <v>8055</v>
      </c>
      <c r="P15" s="1">
        <v>25</v>
      </c>
      <c r="Q15" s="1"/>
      <c r="R15" s="1">
        <v>1</v>
      </c>
      <c r="S15" s="1">
        <v>8103</v>
      </c>
      <c r="T15" s="17">
        <v>12489</v>
      </c>
      <c r="U15" s="17">
        <f t="shared" si="0"/>
        <v>101198367</v>
      </c>
      <c r="X15" s="15">
        <v>5</v>
      </c>
      <c r="Y15" s="1" t="s">
        <v>60</v>
      </c>
    </row>
    <row r="16" spans="2:25">
      <c r="B16" s="15">
        <v>6</v>
      </c>
      <c r="C16" s="15" t="s">
        <v>57</v>
      </c>
      <c r="D16" s="15" t="s">
        <v>254</v>
      </c>
      <c r="E16" s="15" t="s">
        <v>248</v>
      </c>
      <c r="F16" s="1" t="s">
        <v>59</v>
      </c>
      <c r="G16" s="1" t="s">
        <v>55</v>
      </c>
      <c r="H16" s="1" t="s">
        <v>210</v>
      </c>
      <c r="I16" s="1">
        <v>6</v>
      </c>
      <c r="J16" s="1" t="s">
        <v>262</v>
      </c>
      <c r="K16" s="1" t="s">
        <v>263</v>
      </c>
      <c r="L16" s="1" t="s">
        <v>264</v>
      </c>
      <c r="M16" s="1" t="s">
        <v>270</v>
      </c>
      <c r="N16" s="1">
        <v>1</v>
      </c>
      <c r="O16" s="1">
        <v>8055</v>
      </c>
      <c r="P16" s="1">
        <v>25</v>
      </c>
      <c r="Q16" s="1"/>
      <c r="R16" s="1">
        <v>1</v>
      </c>
      <c r="S16" s="1">
        <v>8129</v>
      </c>
      <c r="T16" s="17">
        <v>17751</v>
      </c>
      <c r="U16" s="17">
        <f t="shared" si="0"/>
        <v>144297879</v>
      </c>
      <c r="X16" s="15">
        <v>6</v>
      </c>
      <c r="Y16" s="1" t="s">
        <v>61</v>
      </c>
    </row>
    <row r="17" spans="2:25">
      <c r="B17" s="15">
        <v>7</v>
      </c>
      <c r="C17" s="15" t="s">
        <v>56</v>
      </c>
      <c r="D17" s="15" t="s">
        <v>255</v>
      </c>
      <c r="E17" s="15" t="s">
        <v>249</v>
      </c>
      <c r="F17" s="1" t="s">
        <v>62</v>
      </c>
      <c r="G17" s="1" t="s">
        <v>63</v>
      </c>
      <c r="H17" s="1" t="s">
        <v>210</v>
      </c>
      <c r="I17" s="1">
        <v>7</v>
      </c>
      <c r="J17" s="1" t="s">
        <v>262</v>
      </c>
      <c r="K17" s="1" t="s">
        <v>263</v>
      </c>
      <c r="L17" s="1" t="s">
        <v>264</v>
      </c>
      <c r="M17" s="1" t="s">
        <v>271</v>
      </c>
      <c r="N17" s="1">
        <v>1</v>
      </c>
      <c r="O17" s="1">
        <v>8055</v>
      </c>
      <c r="P17" s="1">
        <v>25</v>
      </c>
      <c r="Q17" s="1"/>
      <c r="R17" s="1">
        <v>1</v>
      </c>
      <c r="S17" s="1">
        <v>8155</v>
      </c>
      <c r="T17" s="17">
        <v>24699</v>
      </c>
      <c r="U17" s="17">
        <f t="shared" si="0"/>
        <v>201420345</v>
      </c>
      <c r="X17" s="15">
        <v>7</v>
      </c>
      <c r="Y17" s="1" t="s">
        <v>64</v>
      </c>
    </row>
    <row r="18" spans="2:25">
      <c r="B18" s="15">
        <v>8</v>
      </c>
      <c r="C18" s="15" t="s">
        <v>56</v>
      </c>
      <c r="D18" s="15" t="s">
        <v>256</v>
      </c>
      <c r="E18" s="15" t="s">
        <v>249</v>
      </c>
      <c r="F18" s="1" t="s">
        <v>62</v>
      </c>
      <c r="G18" s="1" t="s">
        <v>63</v>
      </c>
      <c r="H18" s="1" t="s">
        <v>210</v>
      </c>
      <c r="I18" s="1">
        <v>8</v>
      </c>
      <c r="J18" s="1" t="s">
        <v>262</v>
      </c>
      <c r="K18" s="1" t="s">
        <v>263</v>
      </c>
      <c r="L18" s="1" t="s">
        <v>264</v>
      </c>
      <c r="M18" s="1" t="s">
        <v>272</v>
      </c>
      <c r="N18" s="1">
        <v>1</v>
      </c>
      <c r="O18" s="1">
        <v>8055</v>
      </c>
      <c r="P18" s="1">
        <v>25</v>
      </c>
      <c r="Q18" s="1"/>
      <c r="R18" s="1">
        <v>1</v>
      </c>
      <c r="S18" s="1">
        <v>8181</v>
      </c>
      <c r="T18" s="17">
        <v>21328</v>
      </c>
      <c r="U18" s="17">
        <f t="shared" si="0"/>
        <v>174484368</v>
      </c>
      <c r="X18" s="15">
        <v>8</v>
      </c>
      <c r="Y18" s="1" t="s">
        <v>65</v>
      </c>
    </row>
    <row r="19" spans="2:25">
      <c r="B19" s="15">
        <v>9</v>
      </c>
      <c r="C19" s="15" t="s">
        <v>56</v>
      </c>
      <c r="D19" s="15" t="s">
        <v>257</v>
      </c>
      <c r="E19" s="15" t="s">
        <v>249</v>
      </c>
      <c r="F19" s="1" t="s">
        <v>62</v>
      </c>
      <c r="G19" s="1" t="s">
        <v>63</v>
      </c>
      <c r="H19" s="1" t="s">
        <v>210</v>
      </c>
      <c r="I19" s="1">
        <v>9</v>
      </c>
      <c r="J19" s="1" t="s">
        <v>262</v>
      </c>
      <c r="K19" s="1" t="s">
        <v>263</v>
      </c>
      <c r="L19" s="1" t="s">
        <v>264</v>
      </c>
      <c r="M19" s="1" t="s">
        <v>273</v>
      </c>
      <c r="N19" s="1">
        <v>1</v>
      </c>
      <c r="O19" s="1">
        <v>8055</v>
      </c>
      <c r="P19" s="1">
        <v>25</v>
      </c>
      <c r="Q19" s="1"/>
      <c r="R19" s="1">
        <v>1</v>
      </c>
      <c r="S19" s="1">
        <v>8207</v>
      </c>
      <c r="T19" s="17">
        <v>13163</v>
      </c>
      <c r="U19" s="17">
        <f t="shared" si="0"/>
        <v>108028741</v>
      </c>
      <c r="X19" s="15">
        <v>9</v>
      </c>
      <c r="Y19" s="1" t="s">
        <v>66</v>
      </c>
    </row>
    <row r="20" spans="2:25">
      <c r="B20" s="15">
        <v>10</v>
      </c>
      <c r="C20" s="15" t="s">
        <v>56</v>
      </c>
      <c r="D20" s="15" t="s">
        <v>258</v>
      </c>
      <c r="E20" s="15" t="s">
        <v>249</v>
      </c>
      <c r="F20" s="1" t="s">
        <v>62</v>
      </c>
      <c r="G20" s="1" t="s">
        <v>63</v>
      </c>
      <c r="H20" s="1" t="s">
        <v>210</v>
      </c>
      <c r="I20" s="1">
        <v>10</v>
      </c>
      <c r="J20" s="1" t="s">
        <v>262</v>
      </c>
      <c r="K20" s="1" t="s">
        <v>263</v>
      </c>
      <c r="L20" s="1" t="s">
        <v>264</v>
      </c>
      <c r="M20" s="1" t="s">
        <v>274</v>
      </c>
      <c r="N20" s="1">
        <v>1</v>
      </c>
      <c r="O20" s="1">
        <v>8055</v>
      </c>
      <c r="P20" s="1">
        <v>25</v>
      </c>
      <c r="Q20" s="1"/>
      <c r="R20" s="1">
        <v>1</v>
      </c>
      <c r="S20" s="1">
        <v>8233</v>
      </c>
      <c r="T20" s="17">
        <v>13163</v>
      </c>
      <c r="U20" s="17">
        <f t="shared" si="0"/>
        <v>108370979</v>
      </c>
    </row>
    <row r="21" spans="2:25">
      <c r="B21" s="15">
        <v>11</v>
      </c>
      <c r="C21" s="15" t="s">
        <v>56</v>
      </c>
      <c r="D21" s="15" t="s">
        <v>259</v>
      </c>
      <c r="E21" s="15" t="s">
        <v>249</v>
      </c>
      <c r="F21" s="1" t="s">
        <v>62</v>
      </c>
      <c r="G21" s="1" t="s">
        <v>63</v>
      </c>
      <c r="H21" s="1" t="s">
        <v>210</v>
      </c>
      <c r="I21" s="1">
        <v>10</v>
      </c>
      <c r="J21" s="1" t="s">
        <v>262</v>
      </c>
      <c r="K21" s="1" t="s">
        <v>263</v>
      </c>
      <c r="L21" s="1" t="s">
        <v>264</v>
      </c>
      <c r="M21" s="1" t="s">
        <v>275</v>
      </c>
      <c r="N21" s="1">
        <v>1</v>
      </c>
      <c r="O21" s="1">
        <v>8055</v>
      </c>
      <c r="P21" s="1">
        <v>25</v>
      </c>
      <c r="Q21" s="1"/>
      <c r="R21" s="1">
        <v>1</v>
      </c>
      <c r="S21" s="1">
        <v>8259</v>
      </c>
      <c r="T21" s="17">
        <v>13163</v>
      </c>
      <c r="U21" s="17">
        <f t="shared" si="0"/>
        <v>108713217</v>
      </c>
    </row>
    <row r="22" spans="2:25">
      <c r="B22" s="64">
        <v>12</v>
      </c>
      <c r="C22" s="64" t="s">
        <v>56</v>
      </c>
      <c r="D22" s="64" t="s">
        <v>260</v>
      </c>
      <c r="E22" s="64" t="s">
        <v>249</v>
      </c>
      <c r="F22" s="65" t="s">
        <v>62</v>
      </c>
      <c r="G22" s="65" t="s">
        <v>63</v>
      </c>
      <c r="H22" s="65" t="s">
        <v>210</v>
      </c>
      <c r="I22" s="65">
        <v>12</v>
      </c>
      <c r="J22" s="65" t="s">
        <v>262</v>
      </c>
      <c r="K22" s="65" t="s">
        <v>263</v>
      </c>
      <c r="L22" s="65" t="s">
        <v>264</v>
      </c>
      <c r="M22" s="65" t="s">
        <v>276</v>
      </c>
      <c r="N22" s="65">
        <v>1</v>
      </c>
      <c r="O22" s="65">
        <v>8055</v>
      </c>
      <c r="P22" s="65">
        <v>25</v>
      </c>
      <c r="Q22" s="65"/>
      <c r="R22" s="65">
        <v>1</v>
      </c>
      <c r="S22" s="65">
        <v>8285</v>
      </c>
      <c r="T22" s="66">
        <v>13163</v>
      </c>
      <c r="U22" s="66">
        <f t="shared" si="0"/>
        <v>109055455</v>
      </c>
    </row>
    <row r="23" spans="2:25">
      <c r="B23" s="15">
        <v>13</v>
      </c>
      <c r="C23" s="15" t="s">
        <v>212</v>
      </c>
      <c r="D23" s="15" t="s">
        <v>261</v>
      </c>
      <c r="E23" s="15" t="s">
        <v>249</v>
      </c>
      <c r="F23" s="1" t="s">
        <v>62</v>
      </c>
      <c r="G23" s="1" t="s">
        <v>63</v>
      </c>
      <c r="H23" s="1" t="s">
        <v>211</v>
      </c>
      <c r="I23" s="1">
        <v>13</v>
      </c>
      <c r="J23" s="1" t="s">
        <v>262</v>
      </c>
      <c r="K23" s="1" t="s">
        <v>263</v>
      </c>
      <c r="L23" s="1" t="s">
        <v>264</v>
      </c>
      <c r="M23" s="1" t="s">
        <v>277</v>
      </c>
      <c r="N23" s="1">
        <v>1</v>
      </c>
      <c r="O23" s="1">
        <v>8055</v>
      </c>
      <c r="P23" s="1">
        <v>25</v>
      </c>
      <c r="Q23" s="1"/>
      <c r="R23" s="1">
        <v>1</v>
      </c>
      <c r="S23" s="1">
        <v>8311</v>
      </c>
      <c r="T23" s="17">
        <v>13163</v>
      </c>
      <c r="U23" s="17">
        <f t="shared" si="0"/>
        <v>109397693</v>
      </c>
    </row>
    <row r="24" spans="2:25" s="3" customFormat="1" ht="12.75" customHeight="1">
      <c r="B24" s="59"/>
      <c r="C24" s="59"/>
      <c r="D24" s="59"/>
      <c r="E24" s="59"/>
      <c r="T24" s="67"/>
      <c r="U24" s="67"/>
    </row>
    <row r="25" spans="2:25" s="3" customFormat="1">
      <c r="B25" s="59"/>
      <c r="C25" s="59"/>
      <c r="D25" s="59"/>
      <c r="E25" s="59"/>
      <c r="T25" s="67"/>
      <c r="U25" s="67"/>
    </row>
    <row r="26" spans="2:25" s="3" customFormat="1">
      <c r="B26" s="59"/>
      <c r="C26" s="59"/>
      <c r="D26" s="59"/>
      <c r="E26" s="59"/>
      <c r="T26" s="67"/>
      <c r="U26" s="67"/>
    </row>
    <row r="27" spans="2:25" s="3" customFormat="1">
      <c r="B27" s="59"/>
      <c r="C27" s="59"/>
      <c r="D27" s="59"/>
      <c r="E27" s="59"/>
      <c r="T27" s="67"/>
      <c r="U27" s="67"/>
    </row>
    <row r="28" spans="2:25" s="3" customFormat="1">
      <c r="B28" s="59"/>
      <c r="C28" s="59"/>
      <c r="D28" s="59"/>
      <c r="E28" s="59"/>
      <c r="T28" s="67"/>
      <c r="U28" s="67"/>
    </row>
    <row r="29" spans="2:25" s="3" customFormat="1">
      <c r="B29" s="59"/>
      <c r="C29" s="59"/>
      <c r="D29" s="59"/>
      <c r="E29" s="59"/>
      <c r="T29" s="67"/>
      <c r="U29" s="67"/>
    </row>
    <row r="30" spans="2:25" s="3" customFormat="1">
      <c r="B30" s="59"/>
      <c r="C30" s="59"/>
      <c r="D30" s="59"/>
      <c r="E30" s="59"/>
      <c r="T30" s="67"/>
      <c r="U30" s="67"/>
    </row>
    <row r="31" spans="2:25" s="3" customFormat="1">
      <c r="B31" s="59"/>
      <c r="C31" s="59"/>
      <c r="D31" s="59"/>
      <c r="E31" s="59"/>
      <c r="T31" s="67"/>
      <c r="U31" s="67"/>
    </row>
    <row r="32" spans="2:25" s="3" customFormat="1">
      <c r="B32" s="59"/>
      <c r="C32" s="59"/>
      <c r="D32" s="59"/>
      <c r="E32" s="59"/>
      <c r="T32" s="67"/>
      <c r="U32" s="67"/>
    </row>
    <row r="33" spans="2:21" s="3" customFormat="1">
      <c r="B33" s="59"/>
      <c r="C33" s="59"/>
      <c r="D33" s="59"/>
      <c r="E33" s="59"/>
      <c r="K33" s="127"/>
      <c r="T33" s="67"/>
      <c r="U33" s="67"/>
    </row>
    <row r="34" spans="2:21" s="3" customFormat="1">
      <c r="B34" s="59"/>
      <c r="C34" s="59"/>
      <c r="D34" s="59"/>
      <c r="E34" s="59"/>
      <c r="T34" s="67"/>
      <c r="U34" s="67"/>
    </row>
    <row r="35" spans="2:21" s="3" customFormat="1">
      <c r="B35" s="59"/>
      <c r="C35" s="59"/>
      <c r="D35" s="59"/>
      <c r="E35" s="59"/>
      <c r="T35" s="67"/>
      <c r="U35" s="67"/>
    </row>
    <row r="36" spans="2:21" s="3" customFormat="1">
      <c r="B36" s="59"/>
      <c r="C36" s="59"/>
      <c r="D36" s="59"/>
      <c r="E36" s="59"/>
      <c r="T36" s="67"/>
      <c r="U36" s="67"/>
    </row>
    <row r="37" spans="2:21">
      <c r="B37" s="128"/>
      <c r="C37"/>
      <c r="D37"/>
      <c r="E37"/>
      <c r="U37"/>
    </row>
    <row r="38" spans="2:21">
      <c r="B38"/>
      <c r="C38"/>
      <c r="D38"/>
      <c r="E38"/>
      <c r="U38"/>
    </row>
    <row r="39" spans="2:21">
      <c r="B39"/>
      <c r="C39"/>
      <c r="D39"/>
      <c r="E39"/>
      <c r="U39"/>
    </row>
    <row r="40" spans="2:21">
      <c r="B40"/>
      <c r="C40"/>
      <c r="D40"/>
      <c r="E40"/>
      <c r="U40"/>
    </row>
    <row r="41" spans="2:21">
      <c r="B41"/>
      <c r="C41"/>
      <c r="D41"/>
      <c r="E41"/>
      <c r="U41"/>
    </row>
    <row r="42" spans="2:21">
      <c r="B42"/>
      <c r="C42"/>
      <c r="D42"/>
      <c r="E42"/>
      <c r="U42"/>
    </row>
    <row r="43" spans="2:21">
      <c r="B43"/>
      <c r="C43"/>
      <c r="D43"/>
      <c r="E43"/>
      <c r="U43"/>
    </row>
    <row r="44" spans="2:21">
      <c r="B44"/>
      <c r="C44"/>
      <c r="D44"/>
      <c r="E44"/>
      <c r="U44"/>
    </row>
    <row r="45" spans="2:21">
      <c r="B45"/>
      <c r="C45"/>
      <c r="D45"/>
      <c r="E45"/>
      <c r="U45"/>
    </row>
    <row r="46" spans="2:21">
      <c r="B46"/>
      <c r="C46"/>
      <c r="D46"/>
      <c r="E46"/>
      <c r="U46"/>
    </row>
    <row r="47" spans="2:21">
      <c r="B47"/>
      <c r="C47"/>
      <c r="D47"/>
      <c r="E47"/>
      <c r="U47"/>
    </row>
    <row r="48" spans="2:21">
      <c r="B48"/>
      <c r="C48"/>
      <c r="D48"/>
      <c r="E48"/>
      <c r="U48"/>
    </row>
    <row r="49" spans="2:21">
      <c r="B49"/>
      <c r="C49"/>
      <c r="D49"/>
      <c r="E49"/>
      <c r="U49"/>
    </row>
    <row r="50" spans="2:21">
      <c r="B50"/>
      <c r="C50"/>
      <c r="D50"/>
      <c r="E50"/>
      <c r="U50"/>
    </row>
    <row r="51" spans="2:21">
      <c r="B51"/>
      <c r="C51"/>
      <c r="D51"/>
      <c r="E51"/>
      <c r="U51"/>
    </row>
    <row r="52" spans="2:21">
      <c r="B52"/>
      <c r="C52"/>
      <c r="D52"/>
      <c r="E52"/>
      <c r="U52"/>
    </row>
    <row r="53" spans="2:21">
      <c r="B53"/>
      <c r="C53"/>
      <c r="D53"/>
      <c r="E53"/>
      <c r="U53"/>
    </row>
    <row r="54" spans="2:21">
      <c r="B54"/>
      <c r="C54"/>
      <c r="D54"/>
      <c r="E54"/>
      <c r="U54"/>
    </row>
    <row r="55" spans="2:21">
      <c r="B55"/>
      <c r="C55"/>
      <c r="D55"/>
      <c r="E55"/>
      <c r="U55"/>
    </row>
    <row r="56" spans="2:21">
      <c r="B56"/>
      <c r="C56"/>
      <c r="D56"/>
      <c r="E56"/>
      <c r="U56"/>
    </row>
    <row r="57" spans="2:21">
      <c r="B57"/>
      <c r="C57"/>
      <c r="D57"/>
      <c r="E57"/>
      <c r="U57"/>
    </row>
    <row r="58" spans="2:21">
      <c r="B58"/>
      <c r="C58"/>
      <c r="D58"/>
      <c r="E58"/>
      <c r="U58"/>
    </row>
    <row r="59" spans="2:21">
      <c r="B59"/>
      <c r="C59"/>
      <c r="D59"/>
      <c r="E59"/>
      <c r="U59"/>
    </row>
    <row r="60" spans="2:21">
      <c r="B60"/>
      <c r="C60"/>
      <c r="D60"/>
      <c r="E60"/>
      <c r="U60"/>
    </row>
    <row r="61" spans="2:21">
      <c r="B61"/>
      <c r="C61"/>
      <c r="D61"/>
      <c r="E61"/>
      <c r="U61"/>
    </row>
    <row r="62" spans="2:21">
      <c r="B62"/>
      <c r="C62"/>
      <c r="D62"/>
      <c r="E62"/>
      <c r="U62"/>
    </row>
    <row r="63" spans="2:21">
      <c r="B63"/>
      <c r="C63"/>
      <c r="D63"/>
      <c r="E63"/>
      <c r="U63"/>
    </row>
    <row r="64" spans="2:21">
      <c r="B64"/>
      <c r="C64"/>
      <c r="D64"/>
      <c r="E64"/>
      <c r="U64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M59"/>
  <sheetViews>
    <sheetView tabSelected="1" topLeftCell="B31" workbookViewId="0">
      <selection activeCell="C59" sqref="C59"/>
    </sheetView>
  </sheetViews>
  <sheetFormatPr defaultRowHeight="15.75"/>
  <cols>
    <col min="2" max="2" width="5" customWidth="1"/>
    <col min="3" max="4" width="23.25" customWidth="1"/>
    <col min="5" max="5" width="9.625" customWidth="1"/>
    <col min="6" max="7" width="10.375" customWidth="1"/>
    <col min="8" max="8" width="9.875" customWidth="1"/>
    <col min="9" max="9" width="11" customWidth="1"/>
    <col min="10" max="10" width="12.125" customWidth="1"/>
    <col min="11" max="11" width="13.375" customWidth="1"/>
    <col min="12" max="12" width="12.75" customWidth="1"/>
  </cols>
  <sheetData>
    <row r="6" spans="2:13">
      <c r="B6" s="156" t="s">
        <v>51</v>
      </c>
      <c r="C6" s="158" t="s">
        <v>68</v>
      </c>
      <c r="D6" s="156" t="s">
        <v>69</v>
      </c>
      <c r="E6" s="160" t="s">
        <v>70</v>
      </c>
      <c r="F6" s="161"/>
      <c r="G6" s="161"/>
      <c r="H6" s="161"/>
      <c r="I6" s="161"/>
      <c r="J6" s="161"/>
      <c r="K6" s="161"/>
      <c r="L6" s="161"/>
      <c r="M6" s="162"/>
    </row>
    <row r="7" spans="2:13" ht="31.5" customHeight="1">
      <c r="B7" s="157"/>
      <c r="C7" s="159"/>
      <c r="D7" s="157"/>
      <c r="E7" s="19" t="s">
        <v>57</v>
      </c>
      <c r="F7" s="19" t="s">
        <v>56</v>
      </c>
      <c r="G7" s="19" t="s">
        <v>53</v>
      </c>
      <c r="H7" s="19" t="s">
        <v>58</v>
      </c>
      <c r="I7" s="19" t="s">
        <v>71</v>
      </c>
      <c r="J7" s="19" t="s">
        <v>61</v>
      </c>
      <c r="K7" s="19" t="s">
        <v>65</v>
      </c>
      <c r="L7" s="19" t="s">
        <v>64</v>
      </c>
      <c r="M7" s="19" t="s">
        <v>66</v>
      </c>
    </row>
    <row r="8" spans="2:13">
      <c r="B8" s="15">
        <v>1</v>
      </c>
      <c r="C8" s="20" t="s">
        <v>72</v>
      </c>
      <c r="D8" s="20"/>
      <c r="E8" s="1"/>
      <c r="F8" s="1"/>
      <c r="G8" s="1"/>
      <c r="H8" s="1"/>
      <c r="I8" s="1"/>
      <c r="J8" s="1"/>
      <c r="K8" s="1"/>
      <c r="L8" s="1"/>
      <c r="M8" s="1"/>
    </row>
    <row r="9" spans="2:13">
      <c r="B9" s="15">
        <v>2</v>
      </c>
      <c r="C9" s="21" t="s">
        <v>73</v>
      </c>
      <c r="D9" s="21"/>
      <c r="E9" s="1"/>
      <c r="F9" s="1"/>
      <c r="G9" s="1"/>
      <c r="H9" s="1"/>
      <c r="I9" s="1"/>
      <c r="J9" s="1"/>
      <c r="K9" s="1"/>
      <c r="L9" s="1"/>
      <c r="M9" s="1"/>
    </row>
    <row r="10" spans="2:13">
      <c r="B10" s="15">
        <v>3</v>
      </c>
      <c r="C10" s="21" t="s">
        <v>74</v>
      </c>
      <c r="D10" s="21"/>
      <c r="E10" s="1"/>
      <c r="F10" s="1"/>
      <c r="G10" s="1"/>
      <c r="H10" s="1"/>
      <c r="I10" s="1"/>
      <c r="J10" s="1"/>
      <c r="K10" s="1"/>
      <c r="L10" s="1"/>
      <c r="M10" s="1"/>
    </row>
    <row r="11" spans="2:13">
      <c r="B11" s="15">
        <v>4</v>
      </c>
      <c r="C11" s="20" t="s">
        <v>67</v>
      </c>
      <c r="D11" s="20"/>
      <c r="E11" s="1"/>
      <c r="F11" s="1"/>
      <c r="G11" s="1"/>
      <c r="H11" s="1"/>
      <c r="I11" s="1"/>
      <c r="J11" s="1"/>
      <c r="K11" s="1"/>
      <c r="L11" s="1"/>
      <c r="M11" s="1"/>
    </row>
    <row r="12" spans="2:13">
      <c r="B12" s="15">
        <v>5</v>
      </c>
      <c r="C12" s="21" t="s">
        <v>75</v>
      </c>
      <c r="D12" s="21"/>
      <c r="E12" s="1"/>
      <c r="F12" s="1"/>
      <c r="G12" s="1"/>
      <c r="H12" s="1"/>
      <c r="I12" s="1"/>
      <c r="J12" s="1"/>
      <c r="K12" s="1"/>
      <c r="L12" s="1"/>
      <c r="M12" s="1"/>
    </row>
    <row r="13" spans="2:13">
      <c r="B13" s="15">
        <v>6</v>
      </c>
      <c r="C13" s="22" t="s">
        <v>76</v>
      </c>
      <c r="D13" s="22"/>
      <c r="E13" s="1"/>
      <c r="F13" s="1"/>
      <c r="G13" s="1"/>
      <c r="H13" s="1"/>
      <c r="I13" s="1"/>
      <c r="J13" s="1"/>
      <c r="K13" s="1"/>
      <c r="L13" s="1"/>
      <c r="M13" s="1"/>
    </row>
    <row r="14" spans="2:13">
      <c r="B14" s="15">
        <v>7</v>
      </c>
      <c r="C14" s="22" t="s">
        <v>77</v>
      </c>
      <c r="D14" s="22"/>
      <c r="E14" s="1"/>
      <c r="F14" s="1"/>
      <c r="G14" s="1"/>
      <c r="H14" s="1"/>
      <c r="I14" s="1"/>
      <c r="J14" s="1"/>
      <c r="K14" s="1"/>
      <c r="L14" s="1"/>
      <c r="M14" s="1"/>
    </row>
    <row r="15" spans="2:13">
      <c r="B15" s="15">
        <v>8</v>
      </c>
      <c r="C15" s="22" t="s">
        <v>78</v>
      </c>
      <c r="D15" s="22"/>
      <c r="E15" s="1"/>
      <c r="F15" s="1"/>
      <c r="G15" s="1"/>
      <c r="H15" s="1"/>
      <c r="I15" s="1"/>
      <c r="J15" s="1"/>
      <c r="K15" s="1"/>
      <c r="L15" s="1"/>
      <c r="M15" s="1"/>
    </row>
    <row r="16" spans="2:13">
      <c r="B16" s="15">
        <v>9</v>
      </c>
      <c r="C16" s="1" t="s">
        <v>66</v>
      </c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2:13">
      <c r="B17" s="15">
        <v>10</v>
      </c>
      <c r="C17" s="21" t="s">
        <v>79</v>
      </c>
      <c r="D17" s="21"/>
      <c r="E17" s="1"/>
      <c r="F17" s="1"/>
      <c r="G17" s="1"/>
      <c r="H17" s="1"/>
      <c r="I17" s="1"/>
      <c r="J17" s="1"/>
      <c r="K17" s="1"/>
      <c r="L17" s="1"/>
      <c r="M17" s="1"/>
    </row>
    <row r="18" spans="2:13">
      <c r="B18" s="15">
        <v>11</v>
      </c>
      <c r="C18" s="20" t="s">
        <v>80</v>
      </c>
      <c r="D18" s="20"/>
      <c r="E18" s="1"/>
      <c r="F18" s="1"/>
      <c r="G18" s="1"/>
      <c r="H18" s="1"/>
      <c r="I18" s="1"/>
      <c r="J18" s="1"/>
      <c r="K18" s="1"/>
      <c r="L18" s="1"/>
      <c r="M18" s="1"/>
    </row>
    <row r="19" spans="2:13">
      <c r="B19" s="15">
        <v>12</v>
      </c>
      <c r="C19" s="23" t="s">
        <v>81</v>
      </c>
      <c r="D19" s="23"/>
      <c r="E19" s="1"/>
      <c r="F19" s="1"/>
      <c r="G19" s="1"/>
      <c r="H19" s="1"/>
      <c r="I19" s="1"/>
      <c r="J19" s="1"/>
      <c r="K19" s="1"/>
      <c r="L19" s="1"/>
      <c r="M19" s="1"/>
    </row>
    <row r="20" spans="2:13">
      <c r="B20" s="15">
        <v>13</v>
      </c>
      <c r="C20" s="20" t="s">
        <v>82</v>
      </c>
      <c r="D20" s="20"/>
      <c r="E20" s="1"/>
      <c r="F20" s="1"/>
      <c r="G20" s="1"/>
      <c r="H20" s="1"/>
      <c r="I20" s="1"/>
      <c r="J20" s="1"/>
      <c r="K20" s="1"/>
      <c r="L20" s="1"/>
      <c r="M20" s="1"/>
    </row>
    <row r="21" spans="2:13">
      <c r="B21" s="15">
        <v>14</v>
      </c>
      <c r="C21" s="21" t="s">
        <v>83</v>
      </c>
      <c r="D21" s="21"/>
      <c r="E21" s="1"/>
      <c r="F21" s="1"/>
      <c r="G21" s="1"/>
      <c r="H21" s="1"/>
      <c r="I21" s="1"/>
      <c r="J21" s="1"/>
      <c r="K21" s="1"/>
      <c r="L21" s="1"/>
      <c r="M21" s="1"/>
    </row>
    <row r="22" spans="2:13">
      <c r="B22" s="15">
        <v>15</v>
      </c>
      <c r="C22" s="20" t="s">
        <v>84</v>
      </c>
      <c r="D22" s="20"/>
      <c r="E22" s="1"/>
      <c r="F22" s="1"/>
      <c r="G22" s="1"/>
      <c r="H22" s="1"/>
      <c r="I22" s="1"/>
      <c r="J22" s="1"/>
      <c r="K22" s="1"/>
      <c r="L22" s="1"/>
      <c r="M22" s="1"/>
    </row>
    <row r="23" spans="2:13">
      <c r="B23" s="15">
        <v>16</v>
      </c>
      <c r="C23" s="21" t="s">
        <v>85</v>
      </c>
      <c r="D23" s="21"/>
      <c r="E23" s="1"/>
      <c r="F23" s="1"/>
      <c r="G23" s="1"/>
      <c r="H23" s="1"/>
      <c r="I23" s="1"/>
      <c r="J23" s="1"/>
      <c r="K23" s="1"/>
      <c r="L23" s="1"/>
      <c r="M23" s="1"/>
    </row>
    <row r="24" spans="2:13">
      <c r="B24" s="15">
        <v>17</v>
      </c>
      <c r="C24" s="20" t="s">
        <v>86</v>
      </c>
      <c r="D24" s="20"/>
      <c r="E24" s="1"/>
      <c r="F24" s="1"/>
      <c r="G24" s="1"/>
      <c r="H24" s="1"/>
      <c r="I24" s="1"/>
      <c r="J24" s="1"/>
      <c r="K24" s="1"/>
      <c r="L24" s="1"/>
      <c r="M24" s="1"/>
    </row>
    <row r="25" spans="2:13">
      <c r="B25" s="15">
        <v>18</v>
      </c>
      <c r="C25" s="23" t="s">
        <v>87</v>
      </c>
      <c r="D25" s="23"/>
      <c r="E25" s="1"/>
      <c r="F25" s="1"/>
      <c r="G25" s="1"/>
      <c r="H25" s="1"/>
      <c r="I25" s="1"/>
      <c r="J25" s="1"/>
      <c r="K25" s="1"/>
      <c r="L25" s="1"/>
      <c r="M25" s="1"/>
    </row>
    <row r="26" spans="2:13">
      <c r="B26" s="15">
        <v>19</v>
      </c>
      <c r="C26" s="22" t="s">
        <v>88</v>
      </c>
      <c r="D26" s="22"/>
      <c r="E26" s="1"/>
      <c r="F26" s="1"/>
      <c r="G26" s="1"/>
      <c r="H26" s="1"/>
      <c r="I26" s="1"/>
      <c r="J26" s="1"/>
      <c r="K26" s="1"/>
      <c r="L26" s="1"/>
      <c r="M26" s="1"/>
    </row>
    <row r="27" spans="2:13">
      <c r="B27" s="15">
        <v>20</v>
      </c>
      <c r="C27" s="21" t="s">
        <v>89</v>
      </c>
      <c r="D27" s="21"/>
      <c r="E27" s="1"/>
      <c r="F27" s="1"/>
      <c r="G27" s="1"/>
      <c r="H27" s="1"/>
      <c r="I27" s="1"/>
      <c r="J27" s="1"/>
      <c r="K27" s="1"/>
      <c r="L27" s="1"/>
      <c r="M27" s="1"/>
    </row>
    <row r="28" spans="2:13">
      <c r="B28" s="15">
        <v>21</v>
      </c>
      <c r="C28" s="24" t="s">
        <v>90</v>
      </c>
      <c r="D28" s="24"/>
      <c r="E28" s="1"/>
      <c r="F28" s="1"/>
      <c r="G28" s="1"/>
      <c r="H28" s="1"/>
      <c r="I28" s="1"/>
      <c r="J28" s="1"/>
      <c r="K28" s="1"/>
      <c r="L28" s="1"/>
      <c r="M28" s="1"/>
    </row>
    <row r="29" spans="2:13">
      <c r="B29" s="15">
        <v>22</v>
      </c>
      <c r="C29" s="25" t="s">
        <v>91</v>
      </c>
      <c r="D29" s="26"/>
      <c r="E29" s="1"/>
      <c r="F29" s="1"/>
      <c r="G29" s="1"/>
      <c r="H29" s="1"/>
      <c r="I29" s="1"/>
      <c r="J29" s="1"/>
      <c r="K29" s="1"/>
      <c r="L29" s="1"/>
      <c r="M29" s="1"/>
    </row>
    <row r="30" spans="2:13">
      <c r="B30" s="15">
        <v>23</v>
      </c>
      <c r="C30" s="22" t="s">
        <v>92</v>
      </c>
      <c r="D30" s="22"/>
      <c r="E30" s="1"/>
      <c r="F30" s="1"/>
      <c r="G30" s="1"/>
      <c r="H30" s="1"/>
      <c r="I30" s="1"/>
      <c r="J30" s="1"/>
      <c r="K30" s="1"/>
      <c r="L30" s="1"/>
      <c r="M30" s="1"/>
    </row>
    <row r="31" spans="2:13">
      <c r="B31" s="15">
        <v>24</v>
      </c>
      <c r="C31" s="23" t="s">
        <v>93</v>
      </c>
      <c r="D31" s="23"/>
      <c r="E31" s="1"/>
      <c r="F31" s="1"/>
      <c r="G31" s="1"/>
      <c r="H31" s="1"/>
      <c r="I31" s="1"/>
      <c r="J31" s="1"/>
      <c r="K31" s="1"/>
      <c r="L31" s="1"/>
      <c r="M31" s="1"/>
    </row>
    <row r="32" spans="2:13">
      <c r="B32" s="15">
        <v>25</v>
      </c>
      <c r="C32" s="20" t="s">
        <v>94</v>
      </c>
      <c r="D32" s="20"/>
      <c r="E32" s="1"/>
      <c r="F32" s="1"/>
      <c r="G32" s="1"/>
      <c r="H32" s="1"/>
      <c r="I32" s="1"/>
      <c r="J32" s="1"/>
      <c r="K32" s="1"/>
      <c r="L32" s="1"/>
      <c r="M32" s="1"/>
    </row>
    <row r="33" spans="2:13">
      <c r="B33" s="15">
        <v>26</v>
      </c>
      <c r="C33" s="21" t="s">
        <v>95</v>
      </c>
      <c r="D33" s="21"/>
      <c r="E33" s="1"/>
      <c r="F33" s="1"/>
      <c r="G33" s="1"/>
      <c r="H33" s="1"/>
      <c r="I33" s="1"/>
      <c r="J33" s="1"/>
      <c r="K33" s="1"/>
      <c r="L33" s="1"/>
      <c r="M33" s="1"/>
    </row>
    <row r="34" spans="2:13">
      <c r="B34" s="15">
        <v>27</v>
      </c>
      <c r="C34" s="22" t="s">
        <v>96</v>
      </c>
      <c r="D34" s="22"/>
      <c r="E34" s="1"/>
      <c r="F34" s="1"/>
      <c r="G34" s="1"/>
      <c r="H34" s="1"/>
      <c r="I34" s="1"/>
      <c r="J34" s="1"/>
      <c r="K34" s="1"/>
      <c r="L34" s="1"/>
      <c r="M34" s="1"/>
    </row>
    <row r="35" spans="2:13">
      <c r="B35" s="15">
        <v>28</v>
      </c>
      <c r="C35" s="25" t="s">
        <v>97</v>
      </c>
      <c r="D35" s="26"/>
      <c r="E35" s="1"/>
      <c r="F35" s="1"/>
      <c r="G35" s="1" t="s">
        <v>331</v>
      </c>
      <c r="H35" s="1"/>
      <c r="I35" s="1"/>
      <c r="J35" s="1"/>
      <c r="K35" s="1"/>
      <c r="L35" s="1"/>
      <c r="M35" s="1"/>
    </row>
    <row r="36" spans="2:13">
      <c r="B36" s="15">
        <v>29</v>
      </c>
      <c r="C36" s="22" t="s">
        <v>98</v>
      </c>
      <c r="D36" s="22"/>
      <c r="E36" s="1"/>
      <c r="F36" s="1"/>
      <c r="G36" s="1"/>
      <c r="H36" s="1"/>
      <c r="I36" s="1"/>
      <c r="J36" s="1"/>
      <c r="K36" s="1"/>
      <c r="L36" s="1"/>
      <c r="M36" s="1"/>
    </row>
    <row r="37" spans="2:13">
      <c r="B37" s="15">
        <v>30</v>
      </c>
      <c r="C37" s="21" t="s">
        <v>99</v>
      </c>
      <c r="D37" s="21"/>
      <c r="E37" s="1"/>
      <c r="F37" s="1"/>
      <c r="G37" s="1"/>
      <c r="H37" s="1"/>
      <c r="I37" s="1"/>
      <c r="J37" s="1"/>
      <c r="K37" s="1"/>
      <c r="L37" s="1"/>
      <c r="M37" s="1"/>
    </row>
    <row r="38" spans="2:13">
      <c r="B38" s="15">
        <v>31</v>
      </c>
      <c r="C38" s="21" t="s">
        <v>100</v>
      </c>
      <c r="D38" s="21"/>
      <c r="E38" s="1"/>
      <c r="F38" s="1"/>
      <c r="G38" s="1"/>
      <c r="H38" s="1"/>
      <c r="I38" s="1"/>
      <c r="J38" s="1"/>
      <c r="K38" s="1"/>
      <c r="L38" s="1"/>
      <c r="M38" s="1"/>
    </row>
    <row r="39" spans="2:13">
      <c r="B39" s="15">
        <v>32</v>
      </c>
      <c r="C39" s="21" t="s">
        <v>101</v>
      </c>
      <c r="D39" s="21"/>
      <c r="E39" s="1"/>
      <c r="F39" s="1"/>
      <c r="G39" s="1"/>
      <c r="H39" s="1"/>
      <c r="I39" s="1"/>
      <c r="J39" s="1"/>
      <c r="K39" s="1"/>
      <c r="L39" s="1"/>
      <c r="M39" s="1"/>
    </row>
    <row r="40" spans="2:13">
      <c r="B40" s="15">
        <v>33</v>
      </c>
      <c r="C40" s="20" t="s">
        <v>102</v>
      </c>
      <c r="D40" s="20"/>
      <c r="E40" s="1"/>
      <c r="F40" s="1"/>
      <c r="G40" s="1"/>
      <c r="H40" s="1"/>
      <c r="I40" s="1"/>
      <c r="J40" s="1"/>
      <c r="K40" s="1"/>
      <c r="L40" s="1"/>
      <c r="M40" s="1"/>
    </row>
    <row r="41" spans="2:13">
      <c r="B41" s="15">
        <v>34</v>
      </c>
      <c r="C41" s="21" t="s">
        <v>103</v>
      </c>
      <c r="D41" s="21"/>
      <c r="E41" s="1"/>
      <c r="F41" s="1"/>
      <c r="G41" s="1"/>
      <c r="H41" s="1"/>
      <c r="I41" s="1"/>
      <c r="J41" s="1"/>
      <c r="K41" s="1"/>
      <c r="L41" s="1"/>
      <c r="M41" s="1"/>
    </row>
    <row r="42" spans="2:13">
      <c r="B42" s="15">
        <v>35</v>
      </c>
      <c r="C42" s="132" t="s">
        <v>104</v>
      </c>
      <c r="D42" s="20"/>
      <c r="E42" s="1"/>
      <c r="F42" s="1"/>
      <c r="G42" s="1"/>
      <c r="H42" s="1"/>
      <c r="I42" s="1"/>
      <c r="J42" s="1"/>
      <c r="K42" s="1"/>
      <c r="L42" s="1"/>
      <c r="M42" s="1"/>
    </row>
    <row r="43" spans="2:13">
      <c r="B43" s="15">
        <v>36</v>
      </c>
      <c r="C43" s="132" t="s">
        <v>105</v>
      </c>
      <c r="D43" s="20"/>
      <c r="E43" s="1"/>
      <c r="F43" s="1"/>
      <c r="G43" s="1"/>
      <c r="H43" s="1"/>
      <c r="I43" s="1"/>
      <c r="J43" s="1"/>
      <c r="K43" s="1"/>
      <c r="L43" s="1"/>
      <c r="M43" s="1"/>
    </row>
    <row r="44" spans="2:13">
      <c r="B44" s="15">
        <v>37</v>
      </c>
      <c r="C44" s="132" t="s">
        <v>106</v>
      </c>
      <c r="D44" s="20"/>
      <c r="E44" s="1"/>
      <c r="F44" s="1"/>
      <c r="G44" s="1"/>
      <c r="H44" s="1"/>
      <c r="I44" s="1"/>
      <c r="J44" s="1"/>
      <c r="K44" s="1"/>
      <c r="L44" s="1"/>
      <c r="M44" s="1"/>
    </row>
    <row r="45" spans="2:13">
      <c r="B45" s="15">
        <v>38</v>
      </c>
      <c r="C45" s="132" t="s">
        <v>107</v>
      </c>
      <c r="D45" s="20"/>
      <c r="E45" s="1"/>
      <c r="F45" s="1"/>
      <c r="G45" s="1"/>
      <c r="H45" s="1"/>
      <c r="I45" s="1"/>
      <c r="J45" s="1"/>
      <c r="K45" s="1"/>
      <c r="L45" s="1"/>
      <c r="M45" s="1"/>
    </row>
    <row r="46" spans="2:13">
      <c r="B46" s="15">
        <v>39</v>
      </c>
      <c r="C46" s="132" t="s">
        <v>108</v>
      </c>
      <c r="D46" s="20"/>
      <c r="E46" s="1"/>
      <c r="F46" s="1"/>
      <c r="G46" s="1"/>
      <c r="H46" s="1"/>
      <c r="I46" s="1"/>
      <c r="J46" s="1"/>
      <c r="K46" s="1"/>
      <c r="L46" s="1"/>
      <c r="M46" s="1"/>
    </row>
    <row r="47" spans="2:13">
      <c r="B47" s="15">
        <v>40</v>
      </c>
      <c r="C47" s="132" t="s">
        <v>109</v>
      </c>
      <c r="D47" s="20"/>
      <c r="E47" s="1"/>
      <c r="F47" s="1"/>
      <c r="G47" s="1"/>
      <c r="H47" s="1"/>
      <c r="I47" s="1"/>
      <c r="J47" s="1"/>
      <c r="K47" s="1"/>
      <c r="L47" s="1"/>
      <c r="M47" s="1"/>
    </row>
    <row r="48" spans="2:13">
      <c r="B48" s="15">
        <v>41</v>
      </c>
      <c r="C48" s="132" t="s">
        <v>110</v>
      </c>
      <c r="D48" s="20"/>
      <c r="E48" s="1"/>
      <c r="F48" s="1"/>
      <c r="G48" s="1"/>
      <c r="H48" s="1"/>
      <c r="I48" s="1"/>
      <c r="J48" s="1"/>
      <c r="K48" s="1"/>
      <c r="L48" s="1"/>
      <c r="M48" s="1"/>
    </row>
    <row r="49" spans="2:13">
      <c r="B49" s="15">
        <v>42</v>
      </c>
      <c r="C49" s="132" t="s">
        <v>111</v>
      </c>
      <c r="D49" s="20"/>
      <c r="E49" s="1"/>
      <c r="F49" s="1"/>
      <c r="G49" s="1"/>
      <c r="H49" s="1"/>
      <c r="I49" s="1"/>
      <c r="J49" s="1"/>
      <c r="K49" s="1"/>
      <c r="L49" s="1"/>
      <c r="M49" s="1"/>
    </row>
    <row r="50" spans="2:13">
      <c r="B50" s="15">
        <v>43</v>
      </c>
      <c r="C50" s="132" t="s">
        <v>112</v>
      </c>
      <c r="D50" s="20"/>
      <c r="E50" s="1"/>
      <c r="F50" s="1"/>
      <c r="G50" s="1"/>
      <c r="H50" s="1"/>
      <c r="I50" s="1"/>
      <c r="J50" s="1"/>
      <c r="K50" s="1"/>
      <c r="L50" s="1"/>
      <c r="M50" s="1"/>
    </row>
    <row r="51" spans="2:13">
      <c r="B51" s="15">
        <v>44</v>
      </c>
      <c r="C51" s="132" t="s">
        <v>113</v>
      </c>
      <c r="D51" s="20"/>
      <c r="E51" s="1"/>
      <c r="F51" s="1"/>
      <c r="G51" s="1"/>
      <c r="H51" s="1"/>
      <c r="I51" s="1"/>
      <c r="J51" s="1"/>
      <c r="K51" s="1"/>
      <c r="L51" s="1"/>
      <c r="M51" s="1"/>
    </row>
    <row r="52" spans="2:13">
      <c r="B52" s="15">
        <v>45</v>
      </c>
      <c r="C52" s="132" t="s">
        <v>114</v>
      </c>
      <c r="D52" s="20"/>
      <c r="E52" s="1"/>
      <c r="F52" s="1"/>
      <c r="G52" s="1"/>
      <c r="H52" s="1"/>
      <c r="I52" s="1"/>
      <c r="J52" s="1"/>
      <c r="K52" s="1"/>
      <c r="L52" s="1"/>
      <c r="M52" s="1"/>
    </row>
    <row r="53" spans="2:13">
      <c r="B53" s="15">
        <v>46</v>
      </c>
      <c r="C53" s="132" t="s">
        <v>115</v>
      </c>
      <c r="D53" s="20"/>
      <c r="E53" s="1"/>
      <c r="F53" s="1"/>
      <c r="G53" s="1"/>
      <c r="H53" s="1"/>
      <c r="I53" s="1"/>
      <c r="J53" s="1"/>
      <c r="K53" s="1"/>
      <c r="L53" s="1"/>
      <c r="M53" s="1"/>
    </row>
    <row r="54" spans="2:13">
      <c r="B54" s="15">
        <v>47</v>
      </c>
      <c r="C54" s="132" t="s">
        <v>116</v>
      </c>
      <c r="D54" s="20"/>
      <c r="E54" s="1"/>
      <c r="F54" s="1"/>
      <c r="G54" s="1"/>
      <c r="H54" s="1"/>
      <c r="I54" s="1"/>
      <c r="J54" s="1"/>
      <c r="K54" s="1"/>
      <c r="L54" s="1"/>
      <c r="M54" s="1"/>
    </row>
    <row r="55" spans="2:13">
      <c r="B55" s="15">
        <v>48</v>
      </c>
      <c r="C55" s="132" t="s">
        <v>117</v>
      </c>
      <c r="D55" s="20"/>
      <c r="E55" s="1"/>
      <c r="F55" s="1"/>
      <c r="G55" s="1"/>
      <c r="H55" s="1"/>
      <c r="I55" s="1"/>
      <c r="J55" s="1"/>
      <c r="K55" s="1"/>
      <c r="L55" s="1"/>
      <c r="M55" s="1"/>
    </row>
    <row r="56" spans="2:13">
      <c r="B56" s="15">
        <v>49</v>
      </c>
      <c r="C56" s="132" t="s">
        <v>118</v>
      </c>
      <c r="D56" s="20"/>
      <c r="E56" s="1"/>
      <c r="F56" s="1"/>
      <c r="G56" s="1"/>
      <c r="H56" s="1"/>
      <c r="I56" s="1"/>
      <c r="J56" s="1"/>
      <c r="K56" s="1"/>
      <c r="L56" s="1"/>
      <c r="M56" s="1"/>
    </row>
    <row r="57" spans="2:13">
      <c r="B57" s="15">
        <v>50</v>
      </c>
      <c r="C57" s="20" t="s">
        <v>119</v>
      </c>
      <c r="D57" s="20"/>
      <c r="E57" s="1"/>
      <c r="F57" s="1"/>
      <c r="G57" s="1"/>
      <c r="H57" s="1"/>
      <c r="I57" s="1"/>
      <c r="J57" s="1"/>
      <c r="K57" s="1"/>
      <c r="L57" s="1"/>
      <c r="M57" s="1"/>
    </row>
    <row r="58" spans="2:13">
      <c r="B58" s="15">
        <v>51</v>
      </c>
      <c r="C58" s="132" t="s">
        <v>120</v>
      </c>
      <c r="D58" s="20"/>
      <c r="E58" s="1"/>
      <c r="F58" s="1"/>
      <c r="G58" s="1"/>
      <c r="H58" s="1"/>
      <c r="I58" s="1"/>
      <c r="J58" s="1"/>
      <c r="K58" s="1"/>
      <c r="L58" s="1"/>
      <c r="M58" s="1"/>
    </row>
    <row r="59" spans="2:13">
      <c r="B59" s="15">
        <v>52</v>
      </c>
      <c r="C59" s="132" t="s">
        <v>121</v>
      </c>
      <c r="D59" s="20"/>
      <c r="E59" s="1"/>
      <c r="F59" s="1"/>
      <c r="G59" s="1"/>
      <c r="H59" s="1"/>
      <c r="I59" s="1"/>
      <c r="J59" s="1"/>
      <c r="K59" s="1"/>
      <c r="L59" s="1"/>
      <c r="M59" s="1"/>
    </row>
  </sheetData>
  <mergeCells count="4">
    <mergeCell ref="B6:B7"/>
    <mergeCell ref="C6:C7"/>
    <mergeCell ref="D6:D7"/>
    <mergeCell ref="E6:M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1"/>
  <sheetViews>
    <sheetView workbookViewId="0">
      <selection activeCell="F36" sqref="F36"/>
    </sheetView>
  </sheetViews>
  <sheetFormatPr defaultRowHeight="15.75"/>
  <sheetData>
    <row r="2" spans="1:7">
      <c r="B2" s="163" t="s">
        <v>122</v>
      </c>
      <c r="C2" s="163"/>
      <c r="D2" s="163"/>
    </row>
    <row r="3" spans="1:7">
      <c r="A3" s="27" t="s">
        <v>13</v>
      </c>
      <c r="B3" s="28" t="s">
        <v>123</v>
      </c>
      <c r="C3" s="28" t="s">
        <v>124</v>
      </c>
      <c r="D3" s="27" t="s">
        <v>49</v>
      </c>
      <c r="E3" s="27" t="s">
        <v>125</v>
      </c>
      <c r="F3" s="29" t="s">
        <v>126</v>
      </c>
      <c r="G3" s="27" t="s">
        <v>127</v>
      </c>
    </row>
    <row r="4" spans="1:7">
      <c r="A4" s="30">
        <v>1</v>
      </c>
      <c r="B4" s="31" t="s">
        <v>128</v>
      </c>
      <c r="C4" s="164" t="s">
        <v>129</v>
      </c>
      <c r="D4" s="20" t="s">
        <v>72</v>
      </c>
      <c r="E4" s="32"/>
      <c r="F4" s="33" t="s">
        <v>130</v>
      </c>
      <c r="G4" s="34">
        <v>1</v>
      </c>
    </row>
    <row r="5" spans="1:7">
      <c r="A5" s="35">
        <v>2</v>
      </c>
      <c r="B5" s="36" t="s">
        <v>131</v>
      </c>
      <c r="C5" s="165"/>
      <c r="D5" s="21" t="s">
        <v>73</v>
      </c>
      <c r="E5" s="32"/>
      <c r="F5" s="37" t="s">
        <v>130</v>
      </c>
      <c r="G5" s="38">
        <v>1</v>
      </c>
    </row>
    <row r="6" spans="1:7">
      <c r="A6" s="35">
        <v>3</v>
      </c>
      <c r="B6" s="31" t="s">
        <v>132</v>
      </c>
      <c r="C6" s="39" t="s">
        <v>133</v>
      </c>
      <c r="D6" s="21" t="s">
        <v>74</v>
      </c>
      <c r="E6" s="32"/>
      <c r="F6" s="37" t="s">
        <v>130</v>
      </c>
      <c r="G6" s="38">
        <v>2</v>
      </c>
    </row>
    <row r="7" spans="1:7">
      <c r="A7" s="30">
        <v>4</v>
      </c>
      <c r="B7" s="36" t="s">
        <v>134</v>
      </c>
      <c r="C7" s="166" t="s">
        <v>135</v>
      </c>
      <c r="D7" s="20" t="s">
        <v>67</v>
      </c>
      <c r="E7" s="40"/>
      <c r="F7" s="33" t="s">
        <v>130</v>
      </c>
      <c r="G7" s="34">
        <v>3</v>
      </c>
    </row>
    <row r="8" spans="1:7">
      <c r="A8" s="35">
        <v>5</v>
      </c>
      <c r="B8" s="31" t="s">
        <v>136</v>
      </c>
      <c r="C8" s="167"/>
      <c r="D8" s="21" t="s">
        <v>75</v>
      </c>
      <c r="E8" s="40"/>
      <c r="F8" s="37" t="s">
        <v>137</v>
      </c>
      <c r="G8" s="38">
        <v>3</v>
      </c>
    </row>
    <row r="9" spans="1:7">
      <c r="A9" s="35">
        <v>6</v>
      </c>
      <c r="B9" s="36" t="s">
        <v>138</v>
      </c>
      <c r="C9" s="168"/>
      <c r="D9" s="22" t="s">
        <v>76</v>
      </c>
      <c r="E9" s="32"/>
      <c r="F9" s="41" t="s">
        <v>137</v>
      </c>
      <c r="G9" s="42">
        <v>3</v>
      </c>
    </row>
    <row r="10" spans="1:7">
      <c r="A10" s="30">
        <v>7</v>
      </c>
      <c r="B10" s="31" t="s">
        <v>139</v>
      </c>
      <c r="C10" s="164" t="s">
        <v>140</v>
      </c>
      <c r="D10" s="22" t="s">
        <v>77</v>
      </c>
      <c r="E10" s="32"/>
      <c r="F10" s="41" t="s">
        <v>137</v>
      </c>
      <c r="G10" s="42">
        <v>4</v>
      </c>
    </row>
    <row r="11" spans="1:7">
      <c r="A11" s="35">
        <v>8</v>
      </c>
      <c r="B11" s="36" t="s">
        <v>141</v>
      </c>
      <c r="C11" s="165"/>
      <c r="D11" s="22" t="s">
        <v>78</v>
      </c>
      <c r="E11" s="32"/>
      <c r="F11" s="41" t="s">
        <v>137</v>
      </c>
      <c r="G11" s="42">
        <v>4</v>
      </c>
    </row>
  </sheetData>
  <mergeCells count="4">
    <mergeCell ref="B2:D2"/>
    <mergeCell ref="C4:C5"/>
    <mergeCell ref="C7:C9"/>
    <mergeCell ref="C10:C1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7:J51"/>
  <sheetViews>
    <sheetView topLeftCell="A7" workbookViewId="0">
      <selection activeCell="F36" sqref="F36"/>
    </sheetView>
  </sheetViews>
  <sheetFormatPr defaultRowHeight="15.75"/>
  <cols>
    <col min="3" max="3" width="16.25" customWidth="1"/>
    <col min="4" max="4" width="17" customWidth="1"/>
    <col min="5" max="5" width="18.25" customWidth="1"/>
    <col min="6" max="6" width="25" customWidth="1"/>
    <col min="7" max="7" width="8.75" customWidth="1"/>
    <col min="8" max="8" width="8" customWidth="1"/>
    <col min="9" max="9" width="24" customWidth="1"/>
    <col min="10" max="10" width="16.875" customWidth="1"/>
  </cols>
  <sheetData>
    <row r="7" spans="2:10">
      <c r="C7" s="170" t="s">
        <v>142</v>
      </c>
      <c r="D7" s="170"/>
      <c r="E7" s="170"/>
      <c r="F7" s="170"/>
    </row>
    <row r="8" spans="2:10">
      <c r="B8" s="27" t="s">
        <v>13</v>
      </c>
      <c r="C8" s="28" t="s">
        <v>123</v>
      </c>
      <c r="D8" s="28" t="s">
        <v>143</v>
      </c>
      <c r="E8" s="28" t="s">
        <v>124</v>
      </c>
      <c r="F8" s="27" t="s">
        <v>49</v>
      </c>
      <c r="G8" s="27" t="s">
        <v>125</v>
      </c>
      <c r="H8" s="29" t="s">
        <v>126</v>
      </c>
      <c r="I8" s="29" t="s">
        <v>144</v>
      </c>
      <c r="J8" s="27" t="s">
        <v>127</v>
      </c>
    </row>
    <row r="9" spans="2:10">
      <c r="B9" s="35">
        <v>9</v>
      </c>
      <c r="C9" s="36" t="s">
        <v>145</v>
      </c>
      <c r="D9" s="171" t="s">
        <v>146</v>
      </c>
      <c r="E9" s="156" t="s">
        <v>147</v>
      </c>
      <c r="F9" s="21" t="s">
        <v>79</v>
      </c>
      <c r="G9" s="40" t="s">
        <v>148</v>
      </c>
      <c r="H9" s="37" t="s">
        <v>137</v>
      </c>
      <c r="I9" s="43" t="s">
        <v>149</v>
      </c>
      <c r="J9" s="1"/>
    </row>
    <row r="10" spans="2:10">
      <c r="B10" s="30">
        <v>10</v>
      </c>
      <c r="C10" s="36" t="s">
        <v>150</v>
      </c>
      <c r="D10" s="172"/>
      <c r="E10" s="169"/>
      <c r="F10" s="20" t="s">
        <v>80</v>
      </c>
      <c r="G10" s="32" t="s">
        <v>148</v>
      </c>
      <c r="H10" s="33" t="s">
        <v>137</v>
      </c>
      <c r="I10" s="44" t="s">
        <v>149</v>
      </c>
      <c r="J10" s="1"/>
    </row>
    <row r="11" spans="2:10">
      <c r="B11" s="35">
        <v>11</v>
      </c>
      <c r="C11" s="36" t="s">
        <v>151</v>
      </c>
      <c r="D11" s="172"/>
      <c r="E11" s="169"/>
      <c r="F11" s="23" t="s">
        <v>81</v>
      </c>
      <c r="G11" s="45" t="s">
        <v>148</v>
      </c>
      <c r="H11" s="46" t="s">
        <v>137</v>
      </c>
      <c r="I11" s="47" t="s">
        <v>149</v>
      </c>
      <c r="J11" s="1"/>
    </row>
    <row r="12" spans="2:10">
      <c r="B12" s="35">
        <v>12</v>
      </c>
      <c r="C12" s="36" t="s">
        <v>152</v>
      </c>
      <c r="D12" s="172"/>
      <c r="E12" s="169"/>
      <c r="F12" s="20" t="s">
        <v>82</v>
      </c>
      <c r="G12" s="32" t="s">
        <v>148</v>
      </c>
      <c r="H12" s="33" t="s">
        <v>137</v>
      </c>
      <c r="I12" s="44" t="s">
        <v>149</v>
      </c>
      <c r="J12" s="1"/>
    </row>
    <row r="13" spans="2:10">
      <c r="B13" s="30">
        <v>13</v>
      </c>
      <c r="C13" s="36" t="s">
        <v>153</v>
      </c>
      <c r="D13" s="172"/>
      <c r="E13" s="169"/>
      <c r="F13" s="21" t="s">
        <v>83</v>
      </c>
      <c r="G13" s="40" t="s">
        <v>148</v>
      </c>
      <c r="H13" s="37" t="s">
        <v>137</v>
      </c>
      <c r="I13" s="43" t="s">
        <v>149</v>
      </c>
      <c r="J13" s="1"/>
    </row>
    <row r="14" spans="2:10">
      <c r="B14" s="35">
        <v>14</v>
      </c>
      <c r="C14" s="36" t="s">
        <v>154</v>
      </c>
      <c r="D14" s="172"/>
      <c r="E14" s="169"/>
      <c r="F14" s="20" t="s">
        <v>84</v>
      </c>
      <c r="G14" s="32" t="s">
        <v>148</v>
      </c>
      <c r="H14" s="33" t="s">
        <v>137</v>
      </c>
      <c r="I14" s="44" t="s">
        <v>149</v>
      </c>
      <c r="J14" s="1"/>
    </row>
    <row r="15" spans="2:10">
      <c r="B15" s="35">
        <v>15</v>
      </c>
      <c r="C15" s="36" t="s">
        <v>155</v>
      </c>
      <c r="D15" s="172"/>
      <c r="E15" s="169"/>
      <c r="F15" s="21" t="s">
        <v>85</v>
      </c>
      <c r="G15" s="40" t="s">
        <v>148</v>
      </c>
      <c r="H15" s="37" t="s">
        <v>137</v>
      </c>
      <c r="I15" s="44" t="s">
        <v>149</v>
      </c>
      <c r="J15" s="1"/>
    </row>
    <row r="16" spans="2:10">
      <c r="B16" s="30">
        <v>16</v>
      </c>
      <c r="C16" s="36" t="s">
        <v>156</v>
      </c>
      <c r="D16" s="172"/>
      <c r="E16" s="169"/>
      <c r="F16" s="20" t="s">
        <v>86</v>
      </c>
      <c r="G16" s="32" t="s">
        <v>148</v>
      </c>
      <c r="H16" s="33" t="s">
        <v>137</v>
      </c>
      <c r="I16" s="44" t="s">
        <v>149</v>
      </c>
      <c r="J16" s="1"/>
    </row>
    <row r="17" spans="2:10">
      <c r="B17" s="35">
        <v>17</v>
      </c>
      <c r="C17" s="36" t="s">
        <v>157</v>
      </c>
      <c r="D17" s="172"/>
      <c r="E17" s="169"/>
      <c r="F17" s="23" t="s">
        <v>87</v>
      </c>
      <c r="G17" s="40" t="s">
        <v>148</v>
      </c>
      <c r="H17" s="46" t="s">
        <v>137</v>
      </c>
      <c r="I17" s="44" t="s">
        <v>149</v>
      </c>
      <c r="J17" s="1"/>
    </row>
    <row r="18" spans="2:10">
      <c r="B18" s="35">
        <v>18</v>
      </c>
      <c r="C18" s="36" t="s">
        <v>158</v>
      </c>
      <c r="D18" s="172"/>
      <c r="E18" s="169"/>
      <c r="F18" s="22" t="s">
        <v>88</v>
      </c>
      <c r="G18" s="32" t="s">
        <v>148</v>
      </c>
      <c r="H18" s="41" t="s">
        <v>137</v>
      </c>
      <c r="I18" s="44" t="s">
        <v>149</v>
      </c>
      <c r="J18" s="1"/>
    </row>
    <row r="19" spans="2:10">
      <c r="B19" s="30">
        <v>19</v>
      </c>
      <c r="C19" s="36" t="s">
        <v>159</v>
      </c>
      <c r="D19" s="172"/>
      <c r="E19" s="172" t="s">
        <v>160</v>
      </c>
      <c r="F19" s="21" t="s">
        <v>89</v>
      </c>
      <c r="G19" s="40" t="s">
        <v>148</v>
      </c>
      <c r="H19" s="37" t="s">
        <v>137</v>
      </c>
      <c r="I19" s="43" t="s">
        <v>160</v>
      </c>
      <c r="J19" s="1"/>
    </row>
    <row r="20" spans="2:10">
      <c r="B20" s="35">
        <v>20</v>
      </c>
      <c r="C20" s="36" t="s">
        <v>161</v>
      </c>
      <c r="D20" s="172"/>
      <c r="E20" s="172"/>
      <c r="F20" s="24" t="s">
        <v>90</v>
      </c>
      <c r="G20" s="32" t="s">
        <v>148</v>
      </c>
      <c r="H20" s="33" t="s">
        <v>137</v>
      </c>
      <c r="I20" s="43" t="s">
        <v>160</v>
      </c>
      <c r="J20" s="1"/>
    </row>
    <row r="21" spans="2:10">
      <c r="B21" s="35">
        <v>21</v>
      </c>
      <c r="C21" s="36" t="s">
        <v>162</v>
      </c>
      <c r="D21" s="172"/>
      <c r="E21" s="172"/>
      <c r="F21" s="25" t="s">
        <v>91</v>
      </c>
      <c r="G21" s="40" t="s">
        <v>148</v>
      </c>
      <c r="H21" s="48" t="s">
        <v>137</v>
      </c>
      <c r="I21" s="43" t="s">
        <v>160</v>
      </c>
      <c r="J21" s="1"/>
    </row>
    <row r="22" spans="2:10">
      <c r="B22" s="30">
        <v>22</v>
      </c>
      <c r="C22" s="36" t="s">
        <v>163</v>
      </c>
      <c r="D22" s="172"/>
      <c r="E22" s="172"/>
      <c r="F22" s="22" t="s">
        <v>92</v>
      </c>
      <c r="G22" s="32" t="s">
        <v>148</v>
      </c>
      <c r="H22" s="49" t="s">
        <v>137</v>
      </c>
      <c r="I22" s="43" t="s">
        <v>160</v>
      </c>
      <c r="J22" s="1"/>
    </row>
    <row r="23" spans="2:10">
      <c r="B23" s="35">
        <v>23</v>
      </c>
      <c r="C23" s="36" t="s">
        <v>164</v>
      </c>
      <c r="D23" s="172"/>
      <c r="E23" s="172"/>
      <c r="F23" s="23" t="s">
        <v>93</v>
      </c>
      <c r="G23" s="40" t="s">
        <v>148</v>
      </c>
      <c r="H23" s="48" t="s">
        <v>137</v>
      </c>
      <c r="I23" s="43" t="s">
        <v>165</v>
      </c>
      <c r="J23" s="1"/>
    </row>
    <row r="24" spans="2:10">
      <c r="B24" s="35">
        <v>24</v>
      </c>
      <c r="C24" s="36" t="s">
        <v>166</v>
      </c>
      <c r="D24" s="172"/>
      <c r="E24" s="172" t="s">
        <v>167</v>
      </c>
      <c r="F24" s="20" t="s">
        <v>94</v>
      </c>
      <c r="G24" s="32" t="s">
        <v>148</v>
      </c>
      <c r="H24" s="33" t="s">
        <v>137</v>
      </c>
      <c r="I24" s="44" t="s">
        <v>168</v>
      </c>
      <c r="J24" s="1"/>
    </row>
    <row r="25" spans="2:10">
      <c r="B25" s="30">
        <v>25</v>
      </c>
      <c r="C25" s="36" t="s">
        <v>169</v>
      </c>
      <c r="D25" s="172"/>
      <c r="E25" s="172"/>
      <c r="F25" s="21" t="s">
        <v>95</v>
      </c>
      <c r="G25" s="32" t="s">
        <v>148</v>
      </c>
      <c r="H25" s="37" t="s">
        <v>137</v>
      </c>
      <c r="I25" s="44" t="s">
        <v>167</v>
      </c>
      <c r="J25" s="1"/>
    </row>
    <row r="26" spans="2:10">
      <c r="B26" s="35">
        <v>26</v>
      </c>
      <c r="C26" s="36" t="s">
        <v>170</v>
      </c>
      <c r="D26" s="172"/>
      <c r="E26" s="172" t="s">
        <v>171</v>
      </c>
      <c r="F26" s="22" t="s">
        <v>96</v>
      </c>
      <c r="G26" s="32" t="s">
        <v>172</v>
      </c>
      <c r="H26" s="41" t="s">
        <v>137</v>
      </c>
      <c r="I26" s="50" t="s">
        <v>173</v>
      </c>
      <c r="J26" s="1"/>
    </row>
    <row r="27" spans="2:10">
      <c r="B27" s="35">
        <v>27</v>
      </c>
      <c r="C27" s="36" t="s">
        <v>174</v>
      </c>
      <c r="D27" s="172"/>
      <c r="E27" s="172"/>
      <c r="F27" s="25" t="s">
        <v>97</v>
      </c>
      <c r="G27" s="40" t="s">
        <v>172</v>
      </c>
      <c r="H27" s="48" t="s">
        <v>137</v>
      </c>
      <c r="I27" s="51" t="s">
        <v>173</v>
      </c>
      <c r="J27" s="1"/>
    </row>
    <row r="28" spans="2:10">
      <c r="B28" s="30">
        <v>28</v>
      </c>
      <c r="C28" s="36" t="s">
        <v>175</v>
      </c>
      <c r="D28" s="172"/>
      <c r="E28" s="172"/>
      <c r="F28" s="22" t="s">
        <v>98</v>
      </c>
      <c r="G28" s="52" t="s">
        <v>172</v>
      </c>
      <c r="H28" s="41" t="s">
        <v>137</v>
      </c>
      <c r="I28" s="50" t="s">
        <v>173</v>
      </c>
      <c r="J28" s="1"/>
    </row>
    <row r="29" spans="2:10">
      <c r="B29" s="35">
        <v>29</v>
      </c>
      <c r="C29" s="36" t="s">
        <v>176</v>
      </c>
      <c r="D29" s="172"/>
      <c r="E29" s="172"/>
      <c r="F29" s="21" t="s">
        <v>99</v>
      </c>
      <c r="G29" s="40" t="s">
        <v>172</v>
      </c>
      <c r="H29" s="37" t="s">
        <v>137</v>
      </c>
      <c r="I29" s="43" t="s">
        <v>173</v>
      </c>
      <c r="J29" s="1"/>
    </row>
    <row r="30" spans="2:10">
      <c r="B30" s="35">
        <v>30</v>
      </c>
      <c r="C30" s="36" t="s">
        <v>177</v>
      </c>
      <c r="D30" s="172"/>
      <c r="E30" s="172"/>
      <c r="F30" s="21" t="s">
        <v>100</v>
      </c>
      <c r="G30" s="52" t="s">
        <v>172</v>
      </c>
      <c r="H30" s="41" t="s">
        <v>137</v>
      </c>
      <c r="I30" s="50" t="s">
        <v>173</v>
      </c>
      <c r="J30" s="1"/>
    </row>
    <row r="31" spans="2:10">
      <c r="B31" s="30">
        <v>31</v>
      </c>
      <c r="C31" s="36" t="s">
        <v>178</v>
      </c>
      <c r="D31" s="173"/>
      <c r="E31" s="173"/>
      <c r="F31" s="21" t="s">
        <v>101</v>
      </c>
      <c r="G31" s="40" t="s">
        <v>172</v>
      </c>
      <c r="H31" s="37" t="s">
        <v>137</v>
      </c>
      <c r="I31" s="43" t="s">
        <v>173</v>
      </c>
      <c r="J31" s="1"/>
    </row>
    <row r="32" spans="2:10">
      <c r="B32" s="35">
        <v>32</v>
      </c>
      <c r="C32" s="36" t="s">
        <v>179</v>
      </c>
      <c r="D32" s="156" t="s">
        <v>180</v>
      </c>
      <c r="E32" s="53" t="s">
        <v>181</v>
      </c>
      <c r="F32" s="20" t="s">
        <v>102</v>
      </c>
      <c r="G32" s="32" t="s">
        <v>172</v>
      </c>
      <c r="H32" s="33" t="s">
        <v>137</v>
      </c>
      <c r="I32" s="44" t="s">
        <v>181</v>
      </c>
      <c r="J32" s="1"/>
    </row>
    <row r="33" spans="2:10">
      <c r="B33" s="35">
        <v>33</v>
      </c>
      <c r="C33" s="36" t="s">
        <v>182</v>
      </c>
      <c r="D33" s="169"/>
      <c r="E33" s="169" t="s">
        <v>183</v>
      </c>
      <c r="F33" s="21" t="s">
        <v>103</v>
      </c>
      <c r="G33" s="40" t="s">
        <v>148</v>
      </c>
      <c r="H33" s="37" t="s">
        <v>137</v>
      </c>
      <c r="I33" s="43" t="s">
        <v>149</v>
      </c>
      <c r="J33" s="1"/>
    </row>
    <row r="34" spans="2:10">
      <c r="B34" s="30">
        <v>34</v>
      </c>
      <c r="C34" s="36" t="s">
        <v>184</v>
      </c>
      <c r="D34" s="169"/>
      <c r="E34" s="169"/>
      <c r="F34" s="20" t="s">
        <v>104</v>
      </c>
      <c r="G34" s="40" t="s">
        <v>148</v>
      </c>
      <c r="H34" s="37" t="s">
        <v>137</v>
      </c>
      <c r="I34" s="43" t="s">
        <v>149</v>
      </c>
      <c r="J34" s="1"/>
    </row>
    <row r="35" spans="2:10">
      <c r="B35" s="35">
        <v>35</v>
      </c>
      <c r="C35" s="36" t="s">
        <v>185</v>
      </c>
      <c r="D35" s="169"/>
      <c r="E35" s="169"/>
      <c r="F35" s="20" t="s">
        <v>105</v>
      </c>
      <c r="G35" s="40" t="s">
        <v>148</v>
      </c>
      <c r="H35" s="37" t="s">
        <v>137</v>
      </c>
      <c r="I35" s="43" t="s">
        <v>149</v>
      </c>
      <c r="J35" s="1"/>
    </row>
    <row r="36" spans="2:10">
      <c r="B36" s="35">
        <v>36</v>
      </c>
      <c r="C36" s="36" t="s">
        <v>186</v>
      </c>
      <c r="D36" s="169"/>
      <c r="E36" s="169"/>
      <c r="F36" s="20" t="s">
        <v>106</v>
      </c>
      <c r="G36" s="40" t="s">
        <v>148</v>
      </c>
      <c r="H36" s="37" t="s">
        <v>137</v>
      </c>
      <c r="I36" s="43" t="s">
        <v>149</v>
      </c>
      <c r="J36" s="1"/>
    </row>
    <row r="37" spans="2:10">
      <c r="B37" s="30">
        <v>37</v>
      </c>
      <c r="C37" s="36" t="s">
        <v>187</v>
      </c>
      <c r="D37" s="169"/>
      <c r="E37" s="169"/>
      <c r="F37" s="20" t="s">
        <v>107</v>
      </c>
      <c r="G37" s="40" t="s">
        <v>148</v>
      </c>
      <c r="H37" s="37" t="s">
        <v>137</v>
      </c>
      <c r="I37" s="43" t="s">
        <v>149</v>
      </c>
      <c r="J37" s="1"/>
    </row>
    <row r="38" spans="2:10">
      <c r="B38" s="35">
        <v>38</v>
      </c>
      <c r="C38" s="36" t="s">
        <v>188</v>
      </c>
      <c r="D38" s="169"/>
      <c r="E38" s="54" t="s">
        <v>189</v>
      </c>
      <c r="F38" s="20" t="s">
        <v>108</v>
      </c>
      <c r="G38" s="40" t="s">
        <v>148</v>
      </c>
      <c r="H38" s="37" t="s">
        <v>137</v>
      </c>
      <c r="I38" s="20" t="s">
        <v>189</v>
      </c>
      <c r="J38" s="1"/>
    </row>
    <row r="39" spans="2:10">
      <c r="B39" s="35">
        <v>39</v>
      </c>
      <c r="C39" s="36" t="s">
        <v>190</v>
      </c>
      <c r="D39" s="169"/>
      <c r="E39" s="169" t="s">
        <v>167</v>
      </c>
      <c r="F39" s="20" t="s">
        <v>109</v>
      </c>
      <c r="G39" s="40" t="s">
        <v>148</v>
      </c>
      <c r="H39" s="37" t="s">
        <v>137</v>
      </c>
      <c r="I39" s="20" t="s">
        <v>167</v>
      </c>
      <c r="J39" s="1"/>
    </row>
    <row r="40" spans="2:10">
      <c r="B40" s="30">
        <v>40</v>
      </c>
      <c r="C40" s="36" t="s">
        <v>191</v>
      </c>
      <c r="D40" s="169"/>
      <c r="E40" s="169"/>
      <c r="F40" s="20" t="s">
        <v>110</v>
      </c>
      <c r="G40" s="40" t="s">
        <v>148</v>
      </c>
      <c r="H40" s="37" t="s">
        <v>137</v>
      </c>
      <c r="I40" s="20" t="s">
        <v>167</v>
      </c>
      <c r="J40" s="1"/>
    </row>
    <row r="41" spans="2:10">
      <c r="B41" s="35">
        <v>41</v>
      </c>
      <c r="C41" s="36" t="s">
        <v>192</v>
      </c>
      <c r="D41" s="169"/>
      <c r="E41" s="169"/>
      <c r="F41" s="20" t="s">
        <v>111</v>
      </c>
      <c r="G41" s="40" t="s">
        <v>148</v>
      </c>
      <c r="H41" s="37" t="s">
        <v>137</v>
      </c>
      <c r="I41" s="20" t="s">
        <v>167</v>
      </c>
      <c r="J41" s="1"/>
    </row>
    <row r="42" spans="2:10">
      <c r="B42" s="35">
        <v>42</v>
      </c>
      <c r="C42" s="36" t="s">
        <v>193</v>
      </c>
      <c r="D42" s="169"/>
      <c r="E42" s="169"/>
      <c r="F42" s="20" t="s">
        <v>112</v>
      </c>
      <c r="G42" s="40" t="s">
        <v>148</v>
      </c>
      <c r="H42" s="37" t="s">
        <v>137</v>
      </c>
      <c r="I42" s="20" t="s">
        <v>167</v>
      </c>
      <c r="J42" s="1"/>
    </row>
    <row r="43" spans="2:10">
      <c r="B43" s="30">
        <v>43</v>
      </c>
      <c r="C43" s="36" t="s">
        <v>194</v>
      </c>
      <c r="D43" s="169"/>
      <c r="E43" s="169"/>
      <c r="F43" s="20" t="s">
        <v>113</v>
      </c>
      <c r="G43" s="40" t="s">
        <v>148</v>
      </c>
      <c r="H43" s="37" t="s">
        <v>137</v>
      </c>
      <c r="I43" s="20" t="s">
        <v>167</v>
      </c>
      <c r="J43" s="1"/>
    </row>
    <row r="44" spans="2:10">
      <c r="B44" s="35">
        <v>44</v>
      </c>
      <c r="C44" s="36" t="s">
        <v>195</v>
      </c>
      <c r="D44" s="169"/>
      <c r="E44" s="169"/>
      <c r="F44" s="20" t="s">
        <v>114</v>
      </c>
      <c r="G44" s="40" t="s">
        <v>148</v>
      </c>
      <c r="H44" s="37" t="s">
        <v>137</v>
      </c>
      <c r="I44" s="20" t="s">
        <v>167</v>
      </c>
      <c r="J44" s="1"/>
    </row>
    <row r="45" spans="2:10">
      <c r="B45" s="35">
        <v>45</v>
      </c>
      <c r="C45" s="36" t="s">
        <v>196</v>
      </c>
      <c r="D45" s="169"/>
      <c r="E45" s="169"/>
      <c r="F45" s="20" t="s">
        <v>115</v>
      </c>
      <c r="G45" s="40" t="s">
        <v>148</v>
      </c>
      <c r="H45" s="37" t="s">
        <v>137</v>
      </c>
      <c r="I45" s="20" t="s">
        <v>167</v>
      </c>
      <c r="J45" s="1"/>
    </row>
    <row r="46" spans="2:10">
      <c r="B46" s="30">
        <v>46</v>
      </c>
      <c r="C46" s="36" t="s">
        <v>197</v>
      </c>
      <c r="D46" s="169"/>
      <c r="E46" s="169"/>
      <c r="F46" s="20" t="s">
        <v>116</v>
      </c>
      <c r="G46" s="40" t="s">
        <v>148</v>
      </c>
      <c r="H46" s="37" t="s">
        <v>137</v>
      </c>
      <c r="I46" s="20" t="s">
        <v>167</v>
      </c>
      <c r="J46" s="1"/>
    </row>
    <row r="47" spans="2:10">
      <c r="B47" s="35">
        <v>47</v>
      </c>
      <c r="C47" s="36" t="s">
        <v>198</v>
      </c>
      <c r="D47" s="169"/>
      <c r="E47" s="169"/>
      <c r="F47" s="20" t="s">
        <v>117</v>
      </c>
      <c r="G47" s="40" t="s">
        <v>148</v>
      </c>
      <c r="H47" s="37" t="s">
        <v>137</v>
      </c>
      <c r="I47" s="20" t="s">
        <v>167</v>
      </c>
      <c r="J47" s="1"/>
    </row>
    <row r="48" spans="2:10">
      <c r="B48" s="35">
        <v>48</v>
      </c>
      <c r="C48" s="36" t="s">
        <v>199</v>
      </c>
      <c r="D48" s="169"/>
      <c r="E48" s="169" t="s">
        <v>200</v>
      </c>
      <c r="F48" s="20" t="s">
        <v>118</v>
      </c>
      <c r="G48" s="40" t="s">
        <v>172</v>
      </c>
      <c r="H48" s="37" t="s">
        <v>137</v>
      </c>
      <c r="I48" s="20" t="s">
        <v>200</v>
      </c>
      <c r="J48" s="1"/>
    </row>
    <row r="49" spans="2:10">
      <c r="B49" s="30">
        <v>49</v>
      </c>
      <c r="C49" s="36" t="s">
        <v>201</v>
      </c>
      <c r="D49" s="169"/>
      <c r="E49" s="169"/>
      <c r="F49" s="20" t="s">
        <v>119</v>
      </c>
      <c r="G49" s="40" t="s">
        <v>172</v>
      </c>
      <c r="H49" s="37" t="s">
        <v>137</v>
      </c>
      <c r="I49" s="20" t="s">
        <v>200</v>
      </c>
      <c r="J49" s="1"/>
    </row>
    <row r="50" spans="2:10">
      <c r="B50" s="35">
        <v>50</v>
      </c>
      <c r="C50" s="36" t="s">
        <v>202</v>
      </c>
      <c r="D50" s="169"/>
      <c r="E50" s="169"/>
      <c r="F50" s="20" t="s">
        <v>120</v>
      </c>
      <c r="G50" s="40" t="s">
        <v>172</v>
      </c>
      <c r="H50" s="37" t="s">
        <v>137</v>
      </c>
      <c r="I50" s="20" t="s">
        <v>200</v>
      </c>
      <c r="J50" s="1"/>
    </row>
    <row r="51" spans="2:10">
      <c r="B51" s="35">
        <v>51</v>
      </c>
      <c r="C51" s="36" t="s">
        <v>203</v>
      </c>
      <c r="D51" s="157"/>
      <c r="E51" s="157"/>
      <c r="F51" s="20" t="s">
        <v>121</v>
      </c>
      <c r="G51" s="40" t="s">
        <v>172</v>
      </c>
      <c r="H51" s="37" t="s">
        <v>137</v>
      </c>
      <c r="I51" s="20" t="s">
        <v>200</v>
      </c>
      <c r="J51" s="1"/>
    </row>
  </sheetData>
  <mergeCells count="10">
    <mergeCell ref="D32:D51"/>
    <mergeCell ref="E33:E37"/>
    <mergeCell ref="E39:E47"/>
    <mergeCell ref="E48:E51"/>
    <mergeCell ref="C7:F7"/>
    <mergeCell ref="D9:D31"/>
    <mergeCell ref="E9:E18"/>
    <mergeCell ref="E19:E23"/>
    <mergeCell ref="E24:E25"/>
    <mergeCell ref="E26:E3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Q27"/>
  <sheetViews>
    <sheetView topLeftCell="A2" workbookViewId="0">
      <selection activeCell="G22" sqref="G22:H22"/>
    </sheetView>
  </sheetViews>
  <sheetFormatPr defaultRowHeight="15.75"/>
  <cols>
    <col min="1" max="1" width="3.625" style="4" customWidth="1"/>
    <col min="2" max="2" width="8.75" style="4" customWidth="1"/>
    <col min="3" max="3" width="12.25" style="4" customWidth="1"/>
    <col min="4" max="7" width="9" style="4"/>
    <col min="8" max="8" width="10.875" style="4" customWidth="1"/>
    <col min="9" max="9" width="9" style="4"/>
    <col min="10" max="10" width="14.875" style="4" customWidth="1"/>
    <col min="11" max="11" width="9" style="4"/>
    <col min="12" max="12" width="12.125" style="4" customWidth="1"/>
    <col min="13" max="16384" width="9" style="4"/>
  </cols>
  <sheetData>
    <row r="2" spans="2:17" ht="25.5">
      <c r="B2" s="178" t="s">
        <v>323</v>
      </c>
      <c r="C2" s="179"/>
      <c r="D2" s="179"/>
      <c r="E2" s="180" t="s">
        <v>294</v>
      </c>
      <c r="F2" s="180"/>
      <c r="G2" s="180"/>
      <c r="H2" s="180"/>
      <c r="I2" s="180"/>
      <c r="J2" s="181"/>
      <c r="K2" s="182" t="s">
        <v>295</v>
      </c>
      <c r="L2" s="183"/>
    </row>
    <row r="3" spans="2:17" ht="16.5">
      <c r="B3" s="184" t="s">
        <v>324</v>
      </c>
      <c r="C3" s="185"/>
      <c r="D3" s="185"/>
      <c r="E3" s="68"/>
      <c r="F3" s="68"/>
      <c r="G3" s="68"/>
      <c r="H3" s="68"/>
      <c r="I3" s="68"/>
      <c r="J3" s="68"/>
      <c r="K3" s="68"/>
      <c r="L3" s="69"/>
    </row>
    <row r="4" spans="2:17" ht="16.5">
      <c r="B4" s="70" t="s">
        <v>5</v>
      </c>
      <c r="C4" s="68"/>
      <c r="D4" s="71" t="s">
        <v>325</v>
      </c>
      <c r="E4" s="71"/>
      <c r="F4" s="71"/>
      <c r="G4" s="72" t="s">
        <v>296</v>
      </c>
      <c r="H4" s="73">
        <v>10</v>
      </c>
      <c r="I4" s="68"/>
      <c r="J4" s="68" t="s">
        <v>10</v>
      </c>
      <c r="K4" s="186"/>
      <c r="L4" s="187"/>
    </row>
    <row r="5" spans="2:17" ht="16.5">
      <c r="B5" s="74" t="s">
        <v>327</v>
      </c>
      <c r="C5" s="68"/>
      <c r="D5" s="75"/>
      <c r="E5" s="75"/>
      <c r="F5" s="75"/>
      <c r="G5" s="72" t="s">
        <v>297</v>
      </c>
      <c r="H5" s="121" t="s">
        <v>328</v>
      </c>
      <c r="I5" s="68"/>
      <c r="J5" s="68" t="s">
        <v>11</v>
      </c>
      <c r="K5" s="76"/>
      <c r="L5" s="77"/>
    </row>
    <row r="6" spans="2:17" ht="16.5">
      <c r="B6" s="78" t="s">
        <v>326</v>
      </c>
      <c r="C6" s="68"/>
      <c r="D6" s="75"/>
      <c r="E6" s="75"/>
      <c r="F6" s="75"/>
      <c r="G6" s="75"/>
      <c r="H6" s="79"/>
      <c r="I6" s="75"/>
      <c r="J6" s="68" t="s">
        <v>298</v>
      </c>
      <c r="K6" s="76"/>
      <c r="L6" s="77"/>
    </row>
    <row r="7" spans="2:17" ht="16.5">
      <c r="B7" s="78" t="s">
        <v>1</v>
      </c>
      <c r="C7" s="68"/>
      <c r="D7" s="80"/>
      <c r="E7" s="80"/>
      <c r="F7" s="80"/>
      <c r="G7" s="80"/>
      <c r="H7" s="81"/>
      <c r="I7" s="80"/>
      <c r="J7" s="68" t="s">
        <v>299</v>
      </c>
      <c r="K7" s="76"/>
      <c r="L7" s="77"/>
    </row>
    <row r="8" spans="2:17" ht="16.5">
      <c r="B8" s="78" t="s">
        <v>2</v>
      </c>
      <c r="C8" s="68"/>
      <c r="D8" s="80" t="s">
        <v>300</v>
      </c>
      <c r="E8" s="80"/>
      <c r="F8" s="80"/>
      <c r="G8" s="80"/>
      <c r="H8" s="80"/>
      <c r="I8" s="80"/>
      <c r="J8" s="68" t="s">
        <v>301</v>
      </c>
      <c r="K8" s="76"/>
      <c r="L8" s="77"/>
    </row>
    <row r="9" spans="2:17">
      <c r="B9" s="82" t="s">
        <v>6</v>
      </c>
      <c r="C9" s="68"/>
      <c r="D9" s="80"/>
      <c r="E9" s="80"/>
      <c r="F9" s="80"/>
      <c r="G9" s="80"/>
      <c r="H9" s="80"/>
      <c r="I9" s="80"/>
      <c r="J9" s="68" t="s">
        <v>302</v>
      </c>
      <c r="K9" s="76"/>
      <c r="L9" s="77"/>
      <c r="P9" s="130" t="str">
        <f>"SELECT RECNO() AS STT, socai3.ma_xd, socai3.Ten_XD, socai3.chat_luong, " &amp;
"  socai3.phai_xuat, socai3.nhiet_do_tt, socai3.ti_trong, socai3.he_so_vcf, " &amp;
"  socai3.thuc_xuat, socai3.don_gia, socai3.thanh_tien " &amp;
"FROM socai3 " &amp;
"WHERE socai3.so = " &amp; H4 &amp; ""</f>
        <v>SELECT RECNO() AS STT, socai3.ma_xd, socai3.Ten_XD, socai3.chat_luong,   socai3.phai_xuat, socai3.nhiet_do_tt, socai3.ti_trong, socai3.he_so_vcf,   socai3.thuc_xuat, socai3.don_gia, socai3.thanh_tien FROM socai3 WHERE socai3.so = 10</v>
      </c>
    </row>
    <row r="10" spans="2:17" ht="16.5" thickBot="1">
      <c r="B10" s="82"/>
      <c r="C10" s="71"/>
      <c r="D10" s="68"/>
      <c r="E10" s="68"/>
      <c r="F10" s="68"/>
      <c r="G10" s="68"/>
      <c r="H10" s="68"/>
      <c r="I10" s="68"/>
      <c r="J10" s="68"/>
      <c r="K10" s="76"/>
      <c r="L10" s="77"/>
    </row>
    <row r="11" spans="2:17" ht="16.5" thickTop="1">
      <c r="B11" s="188" t="s">
        <v>13</v>
      </c>
      <c r="C11" s="190" t="s">
        <v>14</v>
      </c>
      <c r="D11" s="188" t="s">
        <v>12</v>
      </c>
      <c r="E11" s="188" t="s">
        <v>303</v>
      </c>
      <c r="F11" s="192" t="s">
        <v>16</v>
      </c>
      <c r="G11" s="193"/>
      <c r="H11" s="193"/>
      <c r="I11" s="193"/>
      <c r="J11" s="194"/>
      <c r="K11" s="188" t="s">
        <v>15</v>
      </c>
      <c r="L11" s="188" t="s">
        <v>17</v>
      </c>
    </row>
    <row r="12" spans="2:17" ht="48">
      <c r="B12" s="189"/>
      <c r="C12" s="191"/>
      <c r="D12" s="189"/>
      <c r="E12" s="189"/>
      <c r="F12" s="83" t="s">
        <v>304</v>
      </c>
      <c r="G12" s="83" t="s">
        <v>305</v>
      </c>
      <c r="H12" s="83" t="s">
        <v>306</v>
      </c>
      <c r="I12" s="83" t="s">
        <v>307</v>
      </c>
      <c r="J12" s="83" t="s">
        <v>308</v>
      </c>
      <c r="K12" s="189"/>
      <c r="L12" s="189"/>
    </row>
    <row r="13" spans="2:17">
      <c r="B13" s="84">
        <f t="array" ref="B13:L14">_xll.AddinATools.BSFunctions.bs_Sql(PHIEU_NHAP!$P$9,"HR=NO; INSERT=YES;")</f>
        <v>1</v>
      </c>
      <c r="C13" s="85" t="str">
        <v>F003</v>
      </c>
      <c r="D13" s="86" t="str">
        <v>Do 0.05 % S</v>
      </c>
      <c r="E13" s="87">
        <v>1</v>
      </c>
      <c r="F13" s="88">
        <v>8055</v>
      </c>
      <c r="G13" s="89">
        <v>25</v>
      </c>
      <c r="H13" s="89" t="str">
        <v/>
      </c>
      <c r="I13" s="89">
        <v>1</v>
      </c>
      <c r="J13" s="90">
        <v>8233</v>
      </c>
      <c r="K13" s="90">
        <v>13163</v>
      </c>
      <c r="L13" s="90">
        <v>108370979</v>
      </c>
      <c r="P13" s="129"/>
    </row>
    <row r="14" spans="2:17" ht="14.25" customHeight="1">
      <c r="B14" s="91">
        <v>2</v>
      </c>
      <c r="C14" s="122" t="str">
        <v>F003</v>
      </c>
      <c r="D14" s="123" t="str">
        <v>Do 0.05 % S</v>
      </c>
      <c r="E14" s="92">
        <v>1</v>
      </c>
      <c r="F14" s="124">
        <v>8055</v>
      </c>
      <c r="G14" s="124">
        <v>25</v>
      </c>
      <c r="H14" s="124" t="str">
        <v/>
      </c>
      <c r="I14" s="124">
        <v>1</v>
      </c>
      <c r="J14" s="125">
        <v>8259</v>
      </c>
      <c r="K14" s="125">
        <v>13163</v>
      </c>
      <c r="L14" s="125">
        <v>108713217</v>
      </c>
      <c r="M14" s="119"/>
      <c r="Q14" s="129" t="s">
        <v>330</v>
      </c>
    </row>
    <row r="15" spans="2:17">
      <c r="B15" s="91"/>
      <c r="C15" s="122"/>
      <c r="D15" s="123"/>
      <c r="E15" s="92"/>
      <c r="F15" s="124"/>
      <c r="G15" s="124"/>
      <c r="H15" s="124"/>
      <c r="I15" s="124"/>
      <c r="J15" s="125"/>
      <c r="K15" s="125"/>
      <c r="L15" s="125"/>
      <c r="M15" s="119"/>
    </row>
    <row r="16" spans="2:17">
      <c r="B16" s="93"/>
      <c r="C16" s="94"/>
      <c r="D16" s="95"/>
      <c r="E16" s="96"/>
      <c r="F16" s="97"/>
      <c r="G16" s="97"/>
      <c r="H16" s="97"/>
      <c r="I16" s="97"/>
      <c r="J16" s="98"/>
      <c r="K16" s="98"/>
      <c r="L16" s="98"/>
    </row>
    <row r="17" spans="2:16" ht="16.5" thickBot="1">
      <c r="B17" s="99"/>
      <c r="C17" s="99"/>
      <c r="D17" s="100" t="s">
        <v>33</v>
      </c>
      <c r="E17" s="101"/>
      <c r="F17" s="101"/>
      <c r="G17" s="101"/>
      <c r="H17" s="101"/>
      <c r="I17" s="101"/>
      <c r="J17" s="102">
        <f>SUM(J13:J16)</f>
        <v>16492</v>
      </c>
      <c r="K17" s="102"/>
      <c r="L17" s="102">
        <f>SUM(L13:L16)</f>
        <v>217084196</v>
      </c>
    </row>
    <row r="18" spans="2:16" ht="17.25" thickTop="1">
      <c r="B18" s="78" t="s">
        <v>309</v>
      </c>
      <c r="C18" s="103"/>
      <c r="D18" s="104"/>
      <c r="E18" s="105" t="s">
        <v>310</v>
      </c>
      <c r="F18" s="103"/>
      <c r="G18" s="120"/>
      <c r="H18" s="120"/>
      <c r="I18" s="120"/>
      <c r="J18" s="120"/>
      <c r="K18" s="106" t="s">
        <v>311</v>
      </c>
      <c r="L18" s="107"/>
      <c r="P18" s="130"/>
    </row>
    <row r="19" spans="2:16" ht="16.5">
      <c r="B19" s="78" t="s">
        <v>312</v>
      </c>
      <c r="C19" s="106"/>
      <c r="D19" s="108"/>
      <c r="E19" s="109"/>
      <c r="F19" s="109"/>
      <c r="G19" s="109"/>
      <c r="H19" s="109"/>
      <c r="I19" s="109"/>
      <c r="J19" s="109"/>
      <c r="K19" s="109"/>
      <c r="L19" s="110"/>
    </row>
    <row r="20" spans="2:16" ht="16.5">
      <c r="B20" s="78" t="s">
        <v>313</v>
      </c>
      <c r="C20" s="106"/>
      <c r="D20" s="111"/>
      <c r="E20" s="111"/>
      <c r="F20" s="111"/>
      <c r="G20" s="111"/>
      <c r="H20" s="111"/>
      <c r="I20" s="111"/>
      <c r="J20" s="111"/>
      <c r="K20" s="111"/>
      <c r="L20" s="112"/>
    </row>
    <row r="21" spans="2:16" ht="16.5">
      <c r="B21" s="78"/>
      <c r="C21" s="126"/>
      <c r="D21" s="126"/>
      <c r="E21" s="106"/>
      <c r="F21" s="106"/>
      <c r="G21" s="106"/>
      <c r="H21" s="106"/>
      <c r="I21" s="106"/>
      <c r="J21" s="106"/>
      <c r="K21" s="175"/>
      <c r="L21" s="198"/>
    </row>
    <row r="22" spans="2:16">
      <c r="B22" s="174" t="s">
        <v>314</v>
      </c>
      <c r="C22" s="175"/>
      <c r="D22" s="175"/>
      <c r="E22" s="175" t="s">
        <v>315</v>
      </c>
      <c r="F22" s="175"/>
      <c r="G22" s="175" t="s">
        <v>316</v>
      </c>
      <c r="H22" s="175"/>
      <c r="I22" s="175" t="s">
        <v>317</v>
      </c>
      <c r="J22" s="175"/>
      <c r="K22" s="175" t="s">
        <v>318</v>
      </c>
      <c r="L22" s="198"/>
    </row>
    <row r="23" spans="2:16" ht="16.5"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5"/>
    </row>
    <row r="24" spans="2:16" ht="16.5"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5"/>
    </row>
    <row r="25" spans="2:16" ht="16.5">
      <c r="B25" s="116"/>
      <c r="C25" s="131"/>
      <c r="D25" s="131"/>
      <c r="E25" s="117"/>
      <c r="F25" s="117"/>
      <c r="G25" s="117"/>
      <c r="H25" s="117"/>
      <c r="I25" s="117"/>
      <c r="J25" s="117"/>
      <c r="K25" s="117"/>
      <c r="L25" s="118"/>
    </row>
    <row r="26" spans="2:16" ht="16.5">
      <c r="B26" s="176" t="s">
        <v>319</v>
      </c>
      <c r="C26" s="177"/>
      <c r="D26" s="177"/>
      <c r="E26" s="195"/>
      <c r="F26" s="195"/>
      <c r="G26" s="196" t="s">
        <v>320</v>
      </c>
      <c r="H26" s="196"/>
      <c r="I26" s="196" t="s">
        <v>321</v>
      </c>
      <c r="J26" s="196"/>
      <c r="K26" s="196" t="s">
        <v>322</v>
      </c>
      <c r="L26" s="197"/>
    </row>
    <row r="27" spans="2:16"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</row>
  </sheetData>
  <mergeCells count="23">
    <mergeCell ref="K11:K12"/>
    <mergeCell ref="L11:L12"/>
    <mergeCell ref="K21:L21"/>
    <mergeCell ref="E22:F22"/>
    <mergeCell ref="G22:H22"/>
    <mergeCell ref="I22:J22"/>
    <mergeCell ref="K22:L22"/>
    <mergeCell ref="B22:D22"/>
    <mergeCell ref="B26:D26"/>
    <mergeCell ref="B2:D2"/>
    <mergeCell ref="E2:J2"/>
    <mergeCell ref="K2:L2"/>
    <mergeCell ref="B3:D3"/>
    <mergeCell ref="K4:L4"/>
    <mergeCell ref="B11:B12"/>
    <mergeCell ref="C11:C12"/>
    <mergeCell ref="D11:D12"/>
    <mergeCell ref="E11:E12"/>
    <mergeCell ref="F11:J11"/>
    <mergeCell ref="E26:F26"/>
    <mergeCell ref="G26:H26"/>
    <mergeCell ref="I26:J26"/>
    <mergeCell ref="K26:L26"/>
  </mergeCells>
  <dataValidations count="1">
    <dataValidation allowBlank="1" showInputMessage="1" showErrorMessage="1" errorTitle="Lỗi" error="Vui lòng chọn dữ liệu trong danh sách._x000d__x000a_(Add-in A-Tools Tác giả: Nguyễn Duy Tuân - http://bluesofts.net)" sqref="H4"/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form</vt:lpstr>
      <vt:lpstr>PHIEU_XUAT</vt:lpstr>
      <vt:lpstr>title_for_userform</vt:lpstr>
      <vt:lpstr>data</vt:lpstr>
      <vt:lpstr>Dashboard</vt:lpstr>
      <vt:lpstr>BAO_CAO_NXT</vt:lpstr>
      <vt:lpstr>SO_CAI</vt:lpstr>
      <vt:lpstr>PT_TON_KHO</vt:lpstr>
      <vt:lpstr>NL</vt:lpstr>
      <vt:lpstr>DMN</vt:lpstr>
      <vt:lpstr>PHIEU_NHAP</vt:lpstr>
      <vt:lpstr>dvtt</vt:lpstr>
      <vt:lpstr>KHO</vt:lpstr>
      <vt:lpstr>SO_CAI</vt:lpstr>
      <vt:lpstr>SO_CAI_12</vt:lpstr>
      <vt:lpstr>socai3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2024-08-25T16:35:17Z</cp:lastPrinted>
  <dcterms:created xsi:type="dcterms:W3CDTF">2024-08-07T08:56:27Z</dcterms:created>
  <dcterms:modified xsi:type="dcterms:W3CDTF">2024-08-28T08:14:20Z</dcterms:modified>
</cp:coreProperties>
</file>